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AO_GIA_TONG_HOP" sheetId="1" state="visible" r:id="rId1"/>
    <sheet xmlns:r="http://schemas.openxmlformats.org/officeDocument/2006/relationships" name="02_CHI_TIET_MODULE" sheetId="2" state="visible" r:id="rId2"/>
    <sheet xmlns:r="http://schemas.openxmlformats.org/officeDocument/2006/relationships" name="03_TRANG_UI" sheetId="3" state="visible" r:id="rId3"/>
    <sheet xmlns:r="http://schemas.openxmlformats.org/officeDocument/2006/relationships" name="04_CHI_PHI_DINH_KY" sheetId="4" state="visible" r:id="rId4"/>
    <sheet xmlns:r="http://schemas.openxmlformats.org/officeDocument/2006/relationships" name="05_PHAM_VI_LUU_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&quot;₫&quot;"/>
    <numFmt numFmtId="165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17365D"/>
      <sz val="10"/>
    </font>
    <font>
      <name val="Arial"/>
      <b val="1"/>
      <color rgb="002E7D32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color rgb="007F7F7F"/>
      <sz val="10"/>
    </font>
    <font>
      <name val="Arial"/>
      <b val="1"/>
      <color rgb="00FFFFFF"/>
      <sz val="14"/>
    </font>
    <font>
      <name val="Arial"/>
      <b val="1"/>
      <color rgb="0017365D"/>
      <sz val="9"/>
    </font>
    <font>
      <name val="Arial"/>
      <b val="1"/>
      <color rgb="0017365D"/>
      <sz val="8"/>
    </font>
    <font>
      <name val="Arial"/>
      <b val="1"/>
      <color rgb="002E7D32"/>
      <sz val="9"/>
    </font>
    <font>
      <name val="Arial"/>
      <b val="1"/>
      <color rgb="002E7D32"/>
      <sz val="8"/>
    </font>
    <font>
      <name val="Arial"/>
      <b val="1"/>
      <color rgb="0017365D"/>
      <sz val="11"/>
    </font>
    <font>
      <name val="Arial"/>
      <b val="1"/>
      <color rgb="002E7D32"/>
      <sz val="11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7365D"/>
        <bgColor rgb="0017365D"/>
      </patternFill>
    </fill>
    <fill>
      <patternFill patternType="solid">
        <fgColor rgb="00C79A2B"/>
        <bgColor rgb="00C79A2B"/>
      </patternFill>
    </fill>
    <fill>
      <patternFill patternType="solid">
        <fgColor rgb="00E7E6E6"/>
        <bgColor rgb="00E7E6E6"/>
      </patternFill>
    </fill>
    <fill>
      <patternFill patternType="solid">
        <fgColor rgb="00E2F0D9"/>
        <bgColor rgb="00E2F0D9"/>
      </patternFill>
    </fill>
    <fill>
      <patternFill patternType="solid">
        <fgColor rgb="FFFFF8DC"/>
        <bgColor rgb="FFFFF8DC"/>
      </patternFill>
    </fill>
    <fill>
      <patternFill patternType="solid">
        <fgColor rgb="FFFFF2CC"/>
        <bgColor rgb="FFFFF2CC"/>
      </patternFill>
    </fill>
    <fill>
      <patternFill patternType="solid">
        <fgColor rgb="00EEF3F8"/>
        <bgColor rgb="00EEF3F8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7365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9" fontId="6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right" vertical="center"/>
    </xf>
    <xf numFmtId="0" fontId="16" fillId="4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8" fillId="9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164" fontId="16" fillId="4" borderId="2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42" customWidth="1" min="3" max="3"/>
    <col width="46" customWidth="1" min="4" max="4"/>
    <col width="14" customWidth="1" min="5" max="5"/>
    <col width="12" customWidth="1" min="6" max="6"/>
    <col width="12" customWidth="1" min="7" max="7"/>
    <col width="20" customWidth="1" min="8" max="8"/>
    <col width="36" customWidth="1" min="9" max="9"/>
  </cols>
  <sheetData>
    <row r="1" ht="42" customHeight="1">
      <c r="A1" s="1" t="inlineStr">
        <is>
          <t>ĐỀ XUẤT WEBSITE HỌC VIỆN ẨM THỰC DUAXCAR KITCHEN – ĐÀO TẠO NGHỀ &amp; CỐ VẤN KINH DOANH F&amp;B</t>
        </is>
      </c>
    </row>
    <row r="2" ht="24" customHeight="1">
      <c r="A2" s="2" t="inlineStr">
        <is>
          <t>Phạm vi gồm 02 phương án: Gói Tiết kiệm (Core Academy) và Gói Full (Học viện &amp; Chuyển giao F&amp;B Toàn diện).</t>
        </is>
      </c>
    </row>
    <row r="4" ht="24" customHeight="1">
      <c r="A4" s="3" t="inlineStr">
        <is>
          <t>THAM SỐ</t>
        </is>
      </c>
      <c r="B4" s="3" t="inlineStr">
        <is>
          <t>Giá trị</t>
        </is>
      </c>
      <c r="D4" s="4" t="inlineStr">
        <is>
          <t>GÓI TIẾT KIỆM – CORE ACADEMY</t>
        </is>
      </c>
      <c r="E4" s="5" t="n"/>
      <c r="G4" s="6" t="inlineStr">
        <is>
          <t>GÓI FULL – KHUYẾN NGHỊ TĂNG TRƯỞNG</t>
        </is>
      </c>
      <c r="H4" s="5" t="n"/>
    </row>
    <row r="5" ht="20" customHeight="1">
      <c r="A5" s="7" t="inlineStr">
        <is>
          <t>Chiết khấu Gói Tiết kiệm</t>
        </is>
      </c>
      <c r="B5" s="8" t="n">
        <v>0.2</v>
      </c>
      <c r="D5" s="9" t="inlineStr">
        <is>
          <t>Module quy trình</t>
        </is>
      </c>
      <c r="E5" s="10" t="n">
        <v>10</v>
      </c>
      <c r="G5" s="11" t="inlineStr">
        <is>
          <t>Module quy trình</t>
        </is>
      </c>
      <c r="H5" s="10" t="n">
        <v>16</v>
      </c>
    </row>
    <row r="6" ht="20" customHeight="1">
      <c r="A6" s="7" t="inlineStr">
        <is>
          <t>Chiết khấu Gói Full</t>
        </is>
      </c>
      <c r="B6" s="8" t="n">
        <v>0.2</v>
      </c>
      <c r="D6" s="9" t="inlineStr">
        <is>
          <t>Feature/hạng mục</t>
        </is>
      </c>
      <c r="E6" s="10">
        <f>'02_CHI_TIET_MODULE'!F324</f>
        <v/>
      </c>
      <c r="G6" s="11" t="inlineStr">
        <is>
          <t>Feature/hạng mục</t>
        </is>
      </c>
      <c r="H6" s="10">
        <f>'02_CHI_TIET_MODULE'!G324</f>
        <v/>
      </c>
    </row>
    <row r="7" ht="20" customHeight="1">
      <c r="A7" s="7" t="n"/>
      <c r="B7" s="10" t="n"/>
      <c r="D7" s="9" t="inlineStr">
        <is>
          <t>Trang/UI</t>
        </is>
      </c>
      <c r="E7" s="10">
        <f>'03_TRANG_UI'!D45</f>
        <v/>
      </c>
      <c r="G7" s="11" t="inlineStr">
        <is>
          <t>Trang/UI</t>
        </is>
      </c>
      <c r="H7" s="10">
        <f>'03_TRANG_UI'!E45</f>
        <v/>
      </c>
    </row>
    <row r="8" ht="20" customHeight="1">
      <c r="A8" s="12" t="inlineStr">
        <is>
          <t>CHÊNH LỆCH FULL</t>
        </is>
      </c>
      <c r="B8" s="10" t="n"/>
      <c r="D8" s="9" t="inlineStr">
        <is>
          <t>Giá niêm yết</t>
        </is>
      </c>
      <c r="E8" s="13">
        <f>SUMIF($F$14:$F$29,"✓",$H$14:$H$29)</f>
        <v/>
      </c>
      <c r="G8" s="11" t="inlineStr">
        <is>
          <t>Giá niêm yết</t>
        </is>
      </c>
      <c r="H8" s="13">
        <f>SUMIF($G$14:$G$29,"✓",$H$14:$H$29)</f>
        <v/>
      </c>
    </row>
    <row r="9" ht="20" customHeight="1">
      <c r="A9" s="7" t="inlineStr">
        <is>
          <t>Tăng thêm</t>
        </is>
      </c>
      <c r="B9" s="14">
        <f>H9-E9</f>
        <v/>
      </c>
      <c r="D9" s="15" t="inlineStr">
        <is>
          <t>TỔNG GÓI</t>
        </is>
      </c>
      <c r="E9" s="16">
        <f>E8*(1-$B$5)</f>
        <v/>
      </c>
      <c r="G9" s="17" t="inlineStr">
        <is>
          <t>TỔNG GÓI</t>
        </is>
      </c>
      <c r="H9" s="18">
        <f>H8*(1-$B$6)</f>
        <v/>
      </c>
    </row>
    <row r="10" ht="20" customHeight="1">
      <c r="A10" s="7" t="inlineStr">
        <is>
          <t>Tỷ lệ tăng</t>
        </is>
      </c>
      <c r="B10" s="19">
        <f>IF(E9=0,0,B9/E9)</f>
        <v/>
      </c>
      <c r="D10" s="7" t="n"/>
      <c r="E10" s="10" t="n"/>
      <c r="G10" s="7" t="n"/>
      <c r="H10" s="10" t="n"/>
    </row>
    <row r="11" ht="20" customHeight="1">
      <c r="A11" s="7" t="inlineStr">
        <is>
          <t>Add-on Full</t>
        </is>
      </c>
      <c r="B11" s="10" t="n">
        <v>6</v>
      </c>
      <c r="D11" s="7" t="n"/>
      <c r="E11" s="10" t="n"/>
      <c r="G11" s="7" t="n"/>
      <c r="H11" s="10" t="n"/>
    </row>
    <row r="13" ht="26" customHeight="1">
      <c r="A13" s="12" t="inlineStr">
        <is>
          <t>Mã</t>
        </is>
      </c>
      <c r="B13" s="20" t="inlineStr">
        <is>
          <t>Nhóm</t>
        </is>
      </c>
      <c r="C13" s="20" t="inlineStr">
        <is>
          <t>MODULE QUY TRÌNH</t>
        </is>
      </c>
      <c r="D13" s="20" t="inlineStr">
        <is>
          <t>Kết quả / Giá trị bàn giao</t>
        </is>
      </c>
      <c r="E13" s="12" t="inlineStr">
        <is>
          <t>Số hạng mục</t>
        </is>
      </c>
      <c r="F13" s="12" t="inlineStr">
        <is>
          <t>Tiết kiệm</t>
        </is>
      </c>
      <c r="G13" s="12" t="inlineStr">
        <is>
          <t>Full</t>
        </is>
      </c>
      <c r="H13" s="20" t="inlineStr">
        <is>
          <t>Giá module tham chiếu</t>
        </is>
      </c>
      <c r="I13" s="20" t="inlineStr">
        <is>
          <t>Ghi chú</t>
        </is>
      </c>
    </row>
    <row r="14" ht="24" customHeight="1">
      <c r="A14" s="21" t="inlineStr">
        <is>
          <t>M01</t>
        </is>
      </c>
      <c r="B14" s="21" t="inlineStr">
        <is>
          <t>NỀN TẢNG</t>
        </is>
      </c>
      <c r="C14" s="9" t="inlineStr">
        <is>
          <t>UX/UI Học viện Ẩm thực &amp; Nền tảng Niềm tin</t>
        </is>
      </c>
      <c r="D14" s="22" t="inlineStr">
        <is>
          <t>Giao diện thương hiệu chuẩn nhận diện DuaxCar (Cam-Đen), mobile-first, tạo dựng uy tín đào tạo ẩm thực chuyên nghiệp.</t>
        </is>
      </c>
      <c r="E14" s="23">
        <f>COUNTIF('02_CHI_TIET_MODULE'!$A$5:$A$330,"M01")</f>
        <v/>
      </c>
      <c r="F14" s="24" t="inlineStr">
        <is>
          <t>✓</t>
        </is>
      </c>
      <c r="G14" s="6" t="inlineStr">
        <is>
          <t>✓</t>
        </is>
      </c>
      <c r="H14" s="25" t="n">
        <v>10000000</v>
      </c>
      <c r="I14" s="26" t="inlineStr">
        <is>
          <t>CORE – Không tách lẻ</t>
        </is>
      </c>
    </row>
    <row r="15" ht="24" customHeight="1">
      <c r="A15" s="21" t="inlineStr">
        <is>
          <t>M02</t>
        </is>
      </c>
      <c r="B15" s="21" t="inlineStr">
        <is>
          <t>NỘI DUNG</t>
        </is>
      </c>
      <c r="C15" s="9" t="inlineStr">
        <is>
          <t>CMS + Nội dung Thương hiệu, Quy chế &amp; Pháp lý</t>
        </is>
      </c>
      <c r="D15" s="22" t="inlineStr">
        <is>
          <t>Quản trị bài viết, cơ sở vật chất bếp thực tế, FAQ, các văn bản chính sách đào tạo, quy chế học viên và bảo lưu.</t>
        </is>
      </c>
      <c r="E15" s="23">
        <f>COUNTIF('02_CHI_TIET_MODULE'!$A$5:$A$330,"M02")</f>
        <v/>
      </c>
      <c r="F15" s="24" t="inlineStr">
        <is>
          <t>✓</t>
        </is>
      </c>
      <c r="G15" s="6" t="inlineStr">
        <is>
          <t>✓</t>
        </is>
      </c>
      <c r="H15" s="25" t="n">
        <v>5000000</v>
      </c>
      <c r="I15" s="26" t="inlineStr">
        <is>
          <t>CORE – Không tách lẻ</t>
        </is>
      </c>
    </row>
    <row r="16" ht="24" customHeight="1">
      <c r="A16" s="21" t="inlineStr">
        <is>
          <t>M03</t>
        </is>
      </c>
      <c r="B16" s="21" t="inlineStr">
        <is>
          <t>ĐÀO TẠO</t>
        </is>
      </c>
      <c r="C16" s="9" t="inlineStr">
        <is>
          <t>Catalogue Khóa học &amp; Bộ lọc Tìm kiếm Đa tiêu chí</t>
        </is>
      </c>
      <c r="D16" s="22" t="inlineStr">
        <is>
          <t>Học viên tra cứu khóa học theo hình thức (Onsite, 1-kèm-1, Nghề mở quán, E-learning) và theo chuyên đề món ăn.</t>
        </is>
      </c>
      <c r="E16" s="23">
        <f>COUNTIF('02_CHI_TIET_MODULE'!$A$5:$A$330,"M03")</f>
        <v/>
      </c>
      <c r="F16" s="24" t="inlineStr">
        <is>
          <t>✓</t>
        </is>
      </c>
      <c r="G16" s="6" t="inlineStr">
        <is>
          <t>✓</t>
        </is>
      </c>
      <c r="H16" s="25" t="n">
        <v>5000000</v>
      </c>
      <c r="I16" s="26" t="inlineStr">
        <is>
          <t>CORE – Không tách lẻ</t>
        </is>
      </c>
    </row>
    <row r="17" ht="24" customHeight="1">
      <c r="A17" s="21" t="inlineStr">
        <is>
          <t>M04</t>
        </is>
      </c>
      <c r="B17" s="21" t="inlineStr">
        <is>
          <t>CURRICULUM</t>
        </is>
      </c>
      <c r="C17" s="9" t="inlineStr">
        <is>
          <t>Chi tiết Khóa học &amp; Giáo trình Đào tạo Thực chiến</t>
        </is>
      </c>
      <c r="D17" s="22" t="inlineStr">
        <is>
          <t>Trình bày giáo trình theo buổi học (Curriculum Accordion), bí quyết nêm sốt cốt, hỗ trợ tính cost và setup mở quán.</t>
        </is>
      </c>
      <c r="E17" s="23">
        <f>COUNTIF('02_CHI_TIET_MODULE'!$A$5:$A$330,"M04")</f>
        <v/>
      </c>
      <c r="F17" s="24" t="inlineStr">
        <is>
          <t>✓</t>
        </is>
      </c>
      <c r="G17" s="6" t="inlineStr">
        <is>
          <t>✓</t>
        </is>
      </c>
      <c r="H17" s="25" t="n">
        <v>10000000</v>
      </c>
      <c r="I17" s="26" t="inlineStr">
        <is>
          <t>CORE – Không tách lẻ</t>
        </is>
      </c>
    </row>
    <row r="18" ht="24" customHeight="1">
      <c r="A18" s="21" t="inlineStr">
        <is>
          <t>M05</t>
        </is>
      </c>
      <c r="B18" s="21" t="inlineStr">
        <is>
          <t>GIẢNG VIÊN</t>
        </is>
      </c>
      <c r="C18" s="9" t="inlineStr">
        <is>
          <t>Đội ngũ Giảng viên &amp; Master Chef Ẩm thực</t>
        </is>
      </c>
      <c r="D18" s="22" t="inlineStr">
        <is>
          <t>Hồ sơ chuyên môn, danh hiệu Nghệ nhân Bàn tay vàng, 25+ năm kinh nghiệm bếp trưởng, bảo chứng chất lượng đào tạo.</t>
        </is>
      </c>
      <c r="E18" s="23">
        <f>COUNTIF('02_CHI_TIET_MODULE'!$A$5:$A$330,"M05")</f>
        <v/>
      </c>
      <c r="F18" s="24" t="inlineStr">
        <is>
          <t>✓</t>
        </is>
      </c>
      <c r="G18" s="6" t="inlineStr">
        <is>
          <t>✓</t>
        </is>
      </c>
      <c r="H18" s="25" t="n">
        <v>5000000</v>
      </c>
      <c r="I18" s="26" t="inlineStr">
        <is>
          <t>CORE – Không tách lẻ</t>
        </is>
      </c>
    </row>
    <row r="19" ht="24" customHeight="1">
      <c r="A19" s="21" t="inlineStr">
        <is>
          <t>M06</t>
        </is>
      </c>
      <c r="B19" s="21" t="inlineStr">
        <is>
          <t>LỊCH HỌC</t>
        </is>
      </c>
      <c r="C19" s="9" t="inlineStr">
        <is>
          <t>Lịch Khai giảng &amp; Quản lý Lớp học Tuyển sinh</t>
        </is>
      </c>
      <c r="D19" s="22" t="inlineStr">
        <is>
          <t>Cập nhật lịch khai giảng theo tháng, ca học sáng/chiều/tối, trạng thái lớp (còn chỗ/sắp đủ/đã chốt) và địa điểm học.</t>
        </is>
      </c>
      <c r="E19" s="23">
        <f>COUNTIF('02_CHI_TIET_MODULE'!$A$5:$A$330,"M06")</f>
        <v/>
      </c>
      <c r="F19" s="24" t="inlineStr">
        <is>
          <t>✓</t>
        </is>
      </c>
      <c r="G19" s="6" t="inlineStr">
        <is>
          <t>✓</t>
        </is>
      </c>
      <c r="H19" s="25" t="n">
        <v>5000000</v>
      </c>
      <c r="I19" s="26" t="inlineStr">
        <is>
          <t>CORE – Không tách lẻ</t>
        </is>
      </c>
    </row>
    <row r="20" ht="24" customHeight="1">
      <c r="A20" s="21" t="inlineStr">
        <is>
          <t>M07</t>
        </is>
      </c>
      <c r="B20" s="21" t="inlineStr">
        <is>
          <t>TUYỂN SINH</t>
        </is>
      </c>
      <c r="C20" s="9" t="inlineStr">
        <is>
          <t>Thu thập Lead &amp; Quy trình Tiếp nhận Đăng ký</t>
        </is>
      </c>
      <c r="D20" s="22" t="inlineStr">
        <is>
          <t>Form &amp; Modal đăng ký tư vấn giữ chỗ thông minh, chuẩn hóa số điện thoại, phân loại nhu cầu học viên và chống spam.</t>
        </is>
      </c>
      <c r="E20" s="23">
        <f>COUNTIF('02_CHI_TIET_MODULE'!$A$5:$A$330,"M07")</f>
        <v/>
      </c>
      <c r="F20" s="24" t="inlineStr">
        <is>
          <t>✓</t>
        </is>
      </c>
      <c r="G20" s="6" t="inlineStr">
        <is>
          <t>✓</t>
        </is>
      </c>
      <c r="H20" s="25" t="n">
        <v>5000000</v>
      </c>
      <c r="I20" s="26" t="inlineStr">
        <is>
          <t>CORE – Không tách lẻ</t>
        </is>
      </c>
    </row>
    <row r="21" ht="24" customHeight="1">
      <c r="A21" s="21" t="inlineStr">
        <is>
          <t>M08</t>
        </is>
      </c>
      <c r="B21" s="21" t="inlineStr">
        <is>
          <t>VẬN HÀNH</t>
        </is>
      </c>
      <c r="C21" s="9" t="inlineStr">
        <is>
          <t>Back-office Quản trị Tuyển sinh, Khóa học &amp; Lead CRM</t>
        </is>
      </c>
      <c r="D21" s="22" t="inlineStr">
        <is>
          <t>Bảng điều khiển CMS quản lý lead tuyển sinh, cập nhật trạng thái tư vấn, chỉnh sửa khóa học, giáo trình và giảng viên.</t>
        </is>
      </c>
      <c r="E21" s="23">
        <f>COUNTIF('02_CHI_TIET_MODULE'!$A$5:$A$330,"M08")</f>
        <v/>
      </c>
      <c r="F21" s="24" t="inlineStr">
        <is>
          <t>✓</t>
        </is>
      </c>
      <c r="G21" s="6" t="inlineStr">
        <is>
          <t>✓</t>
        </is>
      </c>
      <c r="H21" s="25" t="n">
        <v>10000000</v>
      </c>
      <c r="I21" s="26" t="inlineStr">
        <is>
          <t>CORE – Không tách lẻ</t>
        </is>
      </c>
    </row>
    <row r="22" ht="24" customHeight="1">
      <c r="A22" s="21" t="inlineStr">
        <is>
          <t>M09</t>
        </is>
      </c>
      <c r="B22" s="21" t="inlineStr">
        <is>
          <t>MEDIA</t>
        </is>
      </c>
      <c r="C22" s="9" t="inlineStr">
        <is>
          <t>Kho Media Tập trung &amp; Tối ưu Nén ảnh Client-side</t>
        </is>
      </c>
      <c r="D22" s="22" t="inlineStr">
        <is>
          <t>Quản lý hình ảnh món ăn, video bếp; tự động nén WebP trước khi tải lên, tích hợp Media Selector dùng chung.</t>
        </is>
      </c>
      <c r="E22" s="23">
        <f>COUNTIF('02_CHI_TIET_MODULE'!$A$5:$A$330,"M09")</f>
        <v/>
      </c>
      <c r="F22" s="24" t="inlineStr">
        <is>
          <t>✓</t>
        </is>
      </c>
      <c r="G22" s="6" t="inlineStr">
        <is>
          <t>✓</t>
        </is>
      </c>
      <c r="H22" s="25" t="n">
        <v>5000000</v>
      </c>
      <c r="I22" s="26" t="inlineStr">
        <is>
          <t>CORE – Không tách lẻ</t>
        </is>
      </c>
    </row>
    <row r="23" ht="24" customHeight="1">
      <c r="A23" s="21" t="inlineStr">
        <is>
          <t>M10</t>
        </is>
      </c>
      <c r="B23" s="21" t="inlineStr">
        <is>
          <t>CONTENT</t>
        </is>
      </c>
      <c r="C23" s="9" t="inlineStr">
        <is>
          <t>Blog Cẩm nang Ẩm thực, Bí quyết Nấu ăn &amp; Mở quán F&amp;B</t>
        </is>
      </c>
      <c r="D23" s="22" t="inlineStr">
        <is>
          <t>Chia sẻ bí quyết nghề bếp, kinh nghiệm quản trị F&amp;B, mục lục tự động (Table of Contents), trình soạn thảo Rich Text.</t>
        </is>
      </c>
      <c r="E23" s="23">
        <f>COUNTIF('02_CHI_TIET_MODULE'!$A$5:$A$330,"M10")</f>
        <v/>
      </c>
      <c r="F23" s="24" t="inlineStr">
        <is>
          <t>✓</t>
        </is>
      </c>
      <c r="G23" s="6" t="inlineStr">
        <is>
          <t>✓</t>
        </is>
      </c>
      <c r="H23" s="25" t="n">
        <v>10000000</v>
      </c>
      <c r="I23" s="26" t="inlineStr">
        <is>
          <t>CORE – Không tách lẻ</t>
        </is>
      </c>
    </row>
    <row r="24" ht="24" customHeight="1">
      <c r="A24" s="21" t="inlineStr">
        <is>
          <t>M11</t>
        </is>
      </c>
      <c r="B24" s="21" t="inlineStr">
        <is>
          <t>MARKETING</t>
        </is>
      </c>
      <c r="C24" s="9" t="inlineStr">
        <is>
          <t>SEO Chuyên sâu Ngành Đào tạo Ẩm thực &amp; Tracking</t>
        </is>
      </c>
      <c r="D24" s="22" t="inlineStr">
        <is>
          <t>Course Schema, EducationalOrganization Schema, Sitemap tự động, tích hợp GA4, GTM và Meta Pixel đo lường tuyển sinh.</t>
        </is>
      </c>
      <c r="E24" s="23">
        <f>COUNTIF('02_CHI_TIET_MODULE'!$A$5:$A$330,"M11")</f>
        <v/>
      </c>
      <c r="F24" s="27" t="inlineStr">
        <is>
          <t>—</t>
        </is>
      </c>
      <c r="G24" s="6" t="inlineStr">
        <is>
          <t>✓</t>
        </is>
      </c>
      <c r="H24" s="25" t="n">
        <v>5000000</v>
      </c>
      <c r="I24" s="26" t="inlineStr">
        <is>
          <t>ADD-ON – Nâng Cao Hiệu Quả Tuyển Sinh</t>
        </is>
      </c>
    </row>
    <row r="25" ht="24" customHeight="1">
      <c r="A25" s="21" t="inlineStr">
        <is>
          <t>M12</t>
        </is>
      </c>
      <c r="B25" s="21" t="inlineStr">
        <is>
          <t>KỸ THUẬT</t>
        </is>
      </c>
      <c r="C25" s="9" t="inlineStr">
        <is>
          <t>Hạ tầng Cloud Cao cấp, Bảo mật Database &amp; Vận hành</t>
        </is>
      </c>
      <c r="D25" s="22" t="inlineStr">
        <is>
          <t>Hạ tầng Vercel Edge Serverless, Supabase PostgreSQL RLS, Cron Keep-alive 24/7, tự động backup dữ liệu định kỳ.</t>
        </is>
      </c>
      <c r="E25" s="23">
        <f>COUNTIF('02_CHI_TIET_MODULE'!$A$5:$A$330,"M12")</f>
        <v/>
      </c>
      <c r="F25" s="27" t="inlineStr">
        <is>
          <t>—</t>
        </is>
      </c>
      <c r="G25" s="6" t="inlineStr">
        <is>
          <t>✓</t>
        </is>
      </c>
      <c r="H25" s="25" t="n">
        <v>10000000</v>
      </c>
      <c r="I25" s="26" t="inlineStr">
        <is>
          <t>ADD-ON – Vận Hành Ổn Định &amp; An Toàn</t>
        </is>
      </c>
    </row>
    <row r="26" ht="24" customHeight="1">
      <c r="A26" s="21" t="inlineStr">
        <is>
          <t>M13</t>
        </is>
      </c>
      <c r="B26" s="21" t="inlineStr">
        <is>
          <t>THANH TOÁN</t>
        </is>
      </c>
      <c r="C26" s="9" t="inlineStr">
        <is>
          <t>Cổng Đặt cọc Giữ chỗ Khóa học &amp; Học phí Trực tuyến</t>
        </is>
      </c>
      <c r="D26" s="22" t="inlineStr">
        <is>
          <t>Tự sinh mã VietQR động đúng số tiền cọc/học phí và mã đăng ký; tích hợp cổng VNPay/MoMo và webhook đối soát tự động.</t>
        </is>
      </c>
      <c r="E26" s="23">
        <f>COUNTIF('02_CHI_TIET_MODULE'!$A$5:$A$330,"M13")</f>
        <v/>
      </c>
      <c r="F26" s="27" t="inlineStr">
        <is>
          <t>—</t>
        </is>
      </c>
      <c r="G26" s="6" t="inlineStr">
        <is>
          <t>✓</t>
        </is>
      </c>
      <c r="H26" s="25" t="n">
        <v>10000000</v>
      </c>
      <c r="I26" s="26" t="inlineStr">
        <is>
          <t>ADD-ON – Tự Động Hóa Dòng Tiền Tuyển Sinh</t>
        </is>
      </c>
    </row>
    <row r="27" ht="24" customHeight="1">
      <c r="A27" s="21" t="inlineStr">
        <is>
          <t>M14</t>
        </is>
      </c>
      <c r="B27" s="21" t="inlineStr">
        <is>
          <t>TRUST &amp; HẬU MÃI</t>
        </is>
      </c>
      <c r="C27" s="9" t="inlineStr">
        <is>
          <t>Social Proof Chuyên sâu &amp; Học viên Mở quán Thành công</t>
        </is>
      </c>
      <c r="D27" s="22" t="inlineStr">
        <is>
          <t>Showcase quán ăn học viên đã mở, phỏng vấn thực tế, review xác thực kèm ảnh thành phẩm và hệ thống kiểm duyệt.</t>
        </is>
      </c>
      <c r="E27" s="23">
        <f>COUNTIF('02_CHI_TIET_MODULE'!$A$5:$A$330,"M14")</f>
        <v/>
      </c>
      <c r="F27" s="27" t="inlineStr">
        <is>
          <t>—</t>
        </is>
      </c>
      <c r="G27" s="6" t="inlineStr">
        <is>
          <t>✓</t>
        </is>
      </c>
      <c r="H27" s="25" t="n">
        <v>10000000</v>
      </c>
      <c r="I27" s="26" t="inlineStr">
        <is>
          <t>ADD-ON – Tăng Trưởng Uy Tín Chuyển Đổi</t>
        </is>
      </c>
    </row>
    <row r="28" ht="24" customHeight="1">
      <c r="A28" s="21" t="inlineStr">
        <is>
          <t>M15</t>
        </is>
      </c>
      <c r="B28" s="21" t="inlineStr">
        <is>
          <t>HỌC VIÊN</t>
        </is>
      </c>
      <c r="C28" s="9" t="inlineStr">
        <is>
          <t>Cổng Học viên (Student Portal) &amp; Kho Công thức Số</t>
        </is>
      </c>
      <c r="D28" s="22" t="inlineStr">
        <is>
          <t>Tài khoản học viên xem lịch học, tải tài liệu công thức điện tử, tự động đóng Watermark SĐT/tên chống phát tán công thức.</t>
        </is>
      </c>
      <c r="E28" s="23">
        <f>COUNTIF('02_CHI_TIET_MODULE'!$A$5:$A$330,"M15")</f>
        <v/>
      </c>
      <c r="F28" s="27" t="inlineStr">
        <is>
          <t>—</t>
        </is>
      </c>
      <c r="G28" s="6" t="inlineStr">
        <is>
          <t>✓</t>
        </is>
      </c>
      <c r="H28" s="25" t="n">
        <v>10000000</v>
      </c>
      <c r="I28" s="26" t="inlineStr">
        <is>
          <t>ADD-ON – Giữ Chân &amp; Bảo Vệ Bản Quyền F&amp;B</t>
        </is>
      </c>
    </row>
    <row r="29" ht="24" customHeight="1">
      <c r="A29" s="21" t="inlineStr">
        <is>
          <t>M16</t>
        </is>
      </c>
      <c r="B29" s="21" t="inlineStr">
        <is>
          <t>AUTOMATION</t>
        </is>
      </c>
      <c r="C29" s="9" t="inlineStr">
        <is>
          <t>CRM Tuyển sinh Tự động, Email / ZNS &amp; Vận hành Đa cấp</t>
        </is>
      </c>
      <c r="D29" s="22" t="inlineStr">
        <is>
          <t>Tự động gửi email/ZNS xác nhận &amp; nhắc lịch học, webhook đồng bộ CRM ngoài, phân quyền nhân viên và báo cáo doanh thu.</t>
        </is>
      </c>
      <c r="E29" s="23">
        <f>COUNTIF('02_CHI_TIET_MODULE'!$A$5:$A$330,"M16")</f>
        <v/>
      </c>
      <c r="F29" s="27" t="inlineStr">
        <is>
          <t>—</t>
        </is>
      </c>
      <c r="G29" s="6" t="inlineStr">
        <is>
          <t>✓</t>
        </is>
      </c>
      <c r="H29" s="25" t="n">
        <v>5000000</v>
      </c>
      <c r="I29" s="26" t="inlineStr">
        <is>
          <t>ADD-ON – Scale Quy Mô Học Viện</t>
        </is>
      </c>
    </row>
  </sheetData>
  <mergeCells count="5">
    <mergeCell ref="G4:H4"/>
    <mergeCell ref="A2:I2"/>
    <mergeCell ref="A1:I1"/>
    <mergeCell ref="D4:E4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42" customWidth="1" min="2" max="2"/>
    <col width="16" customWidth="1" min="3" max="3"/>
    <col width="24" customWidth="1" min="4" max="4"/>
    <col width="75" customWidth="1" min="5" max="5"/>
    <col width="11" customWidth="1" min="6" max="6"/>
    <col width="11" customWidth="1" min="7" max="7"/>
  </cols>
  <sheetData>
    <row r="1" ht="36" customHeight="1">
      <c r="A1" s="28" t="inlineStr">
        <is>
          <t>CHI TIẾT PHẠM VI CHỨC NĂNG HỌC VIỆN DUAXCAR KITCHEN – 01 MODULE = 01 QUY TRÌNH TRỌN GÓI</t>
        </is>
      </c>
    </row>
    <row r="2" ht="22" customHeight="1">
      <c r="A2" s="2" t="inlineStr">
        <is>
          <t>Bóc tách đầy đủ chi tiết từng đầu việc, luồng nghiệp vụ và tính năng của từng module trong hệ thống website DuaxCar Kitchen.</t>
        </is>
      </c>
    </row>
    <row r="4" ht="26" customHeight="1">
      <c r="A4" s="12" t="inlineStr">
        <is>
          <t>Mã</t>
        </is>
      </c>
      <c r="B4" s="20" t="inlineStr">
        <is>
          <t>Module quy trình</t>
        </is>
      </c>
      <c r="C4" s="12" t="inlineStr">
        <is>
          <t>Loại</t>
        </is>
      </c>
      <c r="D4" s="20" t="inlineStr">
        <is>
          <t>Nhóm hạng mục</t>
        </is>
      </c>
      <c r="E4" s="20" t="inlineStr">
        <is>
          <t>Chi tiết chức năng / đầu việc</t>
        </is>
      </c>
      <c r="F4" s="12" t="inlineStr">
        <is>
          <t>Core</t>
        </is>
      </c>
      <c r="G4" s="12" t="inlineStr">
        <is>
          <t>Full</t>
        </is>
      </c>
    </row>
    <row r="5" ht="20" customHeight="1">
      <c r="A5" s="29" t="inlineStr">
        <is>
          <t>M01</t>
        </is>
      </c>
      <c r="B5" s="30" t="inlineStr">
        <is>
          <t>UX/UI Học viện Ẩm thực &amp; Nền tảng Niềm tin</t>
        </is>
      </c>
      <c r="C5" s="31" t="inlineStr">
        <is>
          <t>CORE</t>
        </is>
      </c>
      <c r="D5" s="22" t="inlineStr">
        <is>
          <t>Trang/UI</t>
        </is>
      </c>
      <c r="E5" s="22" t="inlineStr">
        <is>
          <t>Thiết kế Trang chủ theo nhận diện thương hiệu DuaxCar (Cam #FF7F00 &amp; Đen #1A1A1A)</t>
        </is>
      </c>
      <c r="F5" s="24" t="inlineStr">
        <is>
          <t>✓</t>
        </is>
      </c>
      <c r="G5" s="6" t="inlineStr">
        <is>
          <t>✓</t>
        </is>
      </c>
    </row>
    <row r="6" ht="20" customHeight="1">
      <c r="A6" s="32" t="inlineStr">
        <is>
          <t>M01</t>
        </is>
      </c>
      <c r="B6" s="33" t="inlineStr">
        <is>
          <t>UX/UI Học viện Ẩm thực &amp; Nền tảng Niềm tin</t>
        </is>
      </c>
      <c r="C6" s="34" t="inlineStr">
        <is>
          <t>CORE</t>
        </is>
      </c>
      <c r="D6" s="35" t="inlineStr">
        <is>
          <t>Trang/UI</t>
        </is>
      </c>
      <c r="E6" s="35" t="inlineStr">
        <is>
          <t>Thiết kế Header desktop + mobile, logo thương hiệu, menu điều hướng, hotline, CTA tư vấn</t>
        </is>
      </c>
      <c r="F6" s="24" t="inlineStr">
        <is>
          <t>✓</t>
        </is>
      </c>
      <c r="G6" s="6" t="inlineStr">
        <is>
          <t>✓</t>
        </is>
      </c>
    </row>
    <row r="7" ht="20" customHeight="1">
      <c r="A7" s="29" t="inlineStr">
        <is>
          <t>M01</t>
        </is>
      </c>
      <c r="B7" s="30" t="inlineStr">
        <is>
          <t>UX/UI Học viện Ẩm thực &amp; Nền tảng Niềm tin</t>
        </is>
      </c>
      <c r="C7" s="31" t="inlineStr">
        <is>
          <t>CORE</t>
        </is>
      </c>
      <c r="D7" s="22" t="inlineStr">
        <is>
          <t>Trang/UI</t>
        </is>
      </c>
      <c r="E7" s="22" t="inlineStr">
        <is>
          <t>Thiết kế Footer: thông tin trung tâm, giấy phép kinh doanh, cơ sở bếp, mạng xã hội, chứng nhận</t>
        </is>
      </c>
      <c r="F7" s="24" t="inlineStr">
        <is>
          <t>✓</t>
        </is>
      </c>
      <c r="G7" s="6" t="inlineStr">
        <is>
          <t>✓</t>
        </is>
      </c>
    </row>
    <row r="8" ht="20" customHeight="1">
      <c r="A8" s="32" t="inlineStr">
        <is>
          <t>M01</t>
        </is>
      </c>
      <c r="B8" s="33" t="inlineStr">
        <is>
          <t>UX/UI Học viện Ẩm thực &amp; Nền tảng Niềm tin</t>
        </is>
      </c>
      <c r="C8" s="34" t="inlineStr">
        <is>
          <t>CORE</t>
        </is>
      </c>
      <c r="D8" s="35" t="inlineStr">
        <is>
          <t>Trang/UI</t>
        </is>
      </c>
      <c r="E8" s="35" t="inlineStr">
        <is>
          <t>Thiết kế giao diện Danh mục khóa học tổng hợp &amp; bộ lọc chuyên đề món ăn</t>
        </is>
      </c>
      <c r="F8" s="24" t="inlineStr">
        <is>
          <t>✓</t>
        </is>
      </c>
      <c r="G8" s="6" t="inlineStr">
        <is>
          <t>✓</t>
        </is>
      </c>
    </row>
    <row r="9" ht="20" customHeight="1">
      <c r="A9" s="29" t="inlineStr">
        <is>
          <t>M01</t>
        </is>
      </c>
      <c r="B9" s="30" t="inlineStr">
        <is>
          <t>UX/UI Học viện Ẩm thực &amp; Nền tảng Niềm tin</t>
        </is>
      </c>
      <c r="C9" s="31" t="inlineStr">
        <is>
          <t>CORE</t>
        </is>
      </c>
      <c r="D9" s="22" t="inlineStr">
        <is>
          <t>Trang/UI</t>
        </is>
      </c>
      <c r="E9" s="22" t="inlineStr">
        <is>
          <t>Thiết kế giao diện Chi tiết khóa học đào tạo thực chiến &amp; giáo trình chi tiết</t>
        </is>
      </c>
      <c r="F9" s="24" t="inlineStr">
        <is>
          <t>✓</t>
        </is>
      </c>
      <c r="G9" s="6" t="inlineStr">
        <is>
          <t>✓</t>
        </is>
      </c>
    </row>
    <row r="10" ht="20" customHeight="1">
      <c r="A10" s="32" t="inlineStr">
        <is>
          <t>M01</t>
        </is>
      </c>
      <c r="B10" s="33" t="inlineStr">
        <is>
          <t>UX/UI Học viện Ẩm thực &amp; Nền tảng Niềm tin</t>
        </is>
      </c>
      <c r="C10" s="34" t="inlineStr">
        <is>
          <t>CORE</t>
        </is>
      </c>
      <c r="D10" s="35" t="inlineStr">
        <is>
          <t>Trang/UI</t>
        </is>
      </c>
      <c r="E10" s="35" t="inlineStr">
        <is>
          <t>Thiết kế giao diện Lịch khai giảng các lớp học sắp mở trong tháng</t>
        </is>
      </c>
      <c r="F10" s="24" t="inlineStr">
        <is>
          <t>✓</t>
        </is>
      </c>
      <c r="G10" s="6" t="inlineStr">
        <is>
          <t>✓</t>
        </is>
      </c>
    </row>
    <row r="11" ht="20" customHeight="1">
      <c r="A11" s="29" t="inlineStr">
        <is>
          <t>M01</t>
        </is>
      </c>
      <c r="B11" s="30" t="inlineStr">
        <is>
          <t>UX/UI Học viện Ẩm thực &amp; Nền tảng Niềm tin</t>
        </is>
      </c>
      <c r="C11" s="31" t="inlineStr">
        <is>
          <t>CORE</t>
        </is>
      </c>
      <c r="D11" s="22" t="inlineStr">
        <is>
          <t>Trang/UI</t>
        </is>
      </c>
      <c r="E11" s="22" t="inlineStr">
        <is>
          <t>Thiết kế giao diện Đội ngũ Giảng viên &amp; Master Chef ẩm thực Bàn tay vàng</t>
        </is>
      </c>
      <c r="F11" s="24" t="inlineStr">
        <is>
          <t>✓</t>
        </is>
      </c>
      <c r="G11" s="6" t="inlineStr">
        <is>
          <t>✓</t>
        </is>
      </c>
    </row>
    <row r="12" ht="20" customHeight="1">
      <c r="A12" s="32" t="inlineStr">
        <is>
          <t>M01</t>
        </is>
      </c>
      <c r="B12" s="33" t="inlineStr">
        <is>
          <t>UX/UI Học viện Ẩm thực &amp; Nền tảng Niềm tin</t>
        </is>
      </c>
      <c r="C12" s="34" t="inlineStr">
        <is>
          <t>CORE</t>
        </is>
      </c>
      <c r="D12" s="35" t="inlineStr">
        <is>
          <t>Trang/UI</t>
        </is>
      </c>
      <c r="E12" s="35" t="inlineStr">
        <is>
          <t>Thiết kế giao diện Chi tiết hồ sơ Giảng viên (tiểu sử, giải thưởng, khóa dạy)</t>
        </is>
      </c>
      <c r="F12" s="24" t="inlineStr">
        <is>
          <t>✓</t>
        </is>
      </c>
      <c r="G12" s="6" t="inlineStr">
        <is>
          <t>✓</t>
        </is>
      </c>
    </row>
    <row r="13" ht="20" customHeight="1">
      <c r="A13" s="29" t="inlineStr">
        <is>
          <t>M01</t>
        </is>
      </c>
      <c r="B13" s="30" t="inlineStr">
        <is>
          <t>UX/UI Học viện Ẩm thực &amp; Nền tảng Niềm tin</t>
        </is>
      </c>
      <c r="C13" s="31" t="inlineStr">
        <is>
          <t>CORE</t>
        </is>
      </c>
      <c r="D13" s="22" t="inlineStr">
        <is>
          <t>Trang/UI</t>
        </is>
      </c>
      <c r="E13" s="22" t="inlineStr">
        <is>
          <t>Thiết kế giao diện Cẩm nang ẩm thực &amp; chia sẻ kinh nghiệm kinh doanh F&amp;B</t>
        </is>
      </c>
      <c r="F13" s="24" t="inlineStr">
        <is>
          <t>✓</t>
        </is>
      </c>
      <c r="G13" s="6" t="inlineStr">
        <is>
          <t>✓</t>
        </is>
      </c>
    </row>
    <row r="14" ht="20" customHeight="1">
      <c r="A14" s="32" t="inlineStr">
        <is>
          <t>M01</t>
        </is>
      </c>
      <c r="B14" s="33" t="inlineStr">
        <is>
          <t>UX/UI Học viện Ẩm thực &amp; Nền tảng Niềm tin</t>
        </is>
      </c>
      <c r="C14" s="34" t="inlineStr">
        <is>
          <t>CORE</t>
        </is>
      </c>
      <c r="D14" s="35" t="inlineStr">
        <is>
          <t>Trang/UI</t>
        </is>
      </c>
      <c r="E14" s="35" t="inlineStr">
        <is>
          <t>Thiết kế giao diện Chi tiết bài viết cẩm nang chuẩn SEO có Table of Contents tự động</t>
        </is>
      </c>
      <c r="F14" s="24" t="inlineStr">
        <is>
          <t>✓</t>
        </is>
      </c>
      <c r="G14" s="6" t="inlineStr">
        <is>
          <t>✓</t>
        </is>
      </c>
    </row>
    <row r="15" ht="20" customHeight="1">
      <c r="A15" s="29" t="inlineStr">
        <is>
          <t>M01</t>
        </is>
      </c>
      <c r="B15" s="30" t="inlineStr">
        <is>
          <t>UX/UI Học viện Ẩm thực &amp; Nền tảng Niềm tin</t>
        </is>
      </c>
      <c r="C15" s="31" t="inlineStr">
        <is>
          <t>CORE</t>
        </is>
      </c>
      <c r="D15" s="22" t="inlineStr">
        <is>
          <t>Trang/UI</t>
        </is>
      </c>
      <c r="E15" s="22" t="inlineStr">
        <is>
          <t>Thiết kế Modal Form Đăng ký tư vấn khóa học nhanh &amp; giữ chỗ ưu đãi</t>
        </is>
      </c>
      <c r="F15" s="24" t="inlineStr">
        <is>
          <t>✓</t>
        </is>
      </c>
      <c r="G15" s="6" t="inlineStr">
        <is>
          <t>✓</t>
        </is>
      </c>
    </row>
    <row r="16" ht="20" customHeight="1">
      <c r="A16" s="32" t="inlineStr">
        <is>
          <t>M01</t>
        </is>
      </c>
      <c r="B16" s="33" t="inlineStr">
        <is>
          <t>UX/UI Học viện Ẩm thực &amp; Nền tảng Niềm tin</t>
        </is>
      </c>
      <c r="C16" s="34" t="inlineStr">
        <is>
          <t>CORE</t>
        </is>
      </c>
      <c r="D16" s="35" t="inlineStr">
        <is>
          <t>Trang/UI</t>
        </is>
      </c>
      <c r="E16" s="35" t="inlineStr">
        <is>
          <t>Thiết kế giao diện 404 Không tìm thấy trang &amp; Trạng thái không có kết quả tìm kiếm</t>
        </is>
      </c>
      <c r="F16" s="24" t="inlineStr">
        <is>
          <t>✓</t>
        </is>
      </c>
      <c r="G16" s="6" t="inlineStr">
        <is>
          <t>✓</t>
        </is>
      </c>
    </row>
    <row r="17" ht="20" customHeight="1">
      <c r="A17" s="29" t="inlineStr">
        <is>
          <t>M01</t>
        </is>
      </c>
      <c r="B17" s="30" t="inlineStr">
        <is>
          <t>UX/UI Học viện Ẩm thực &amp; Nền tảng Niềm tin</t>
        </is>
      </c>
      <c r="C17" s="31" t="inlineStr">
        <is>
          <t>CORE</t>
        </is>
      </c>
      <c r="D17" s="22" t="inlineStr">
        <is>
          <t>UX/Responsive</t>
        </is>
      </c>
      <c r="E17" s="22" t="inlineStr">
        <is>
          <t>Tối ưu hóa Mobile-first cho toàn bộ luồng tìm hiểu và đăng ký học trên điện thoại</t>
        </is>
      </c>
      <c r="F17" s="24" t="inlineStr">
        <is>
          <t>✓</t>
        </is>
      </c>
      <c r="G17" s="6" t="inlineStr">
        <is>
          <t>✓</t>
        </is>
      </c>
    </row>
    <row r="18" ht="20" customHeight="1">
      <c r="A18" s="32" t="inlineStr">
        <is>
          <t>M01</t>
        </is>
      </c>
      <c r="B18" s="33" t="inlineStr">
        <is>
          <t>UX/UI Học viện Ẩm thực &amp; Nền tảng Niềm tin</t>
        </is>
      </c>
      <c r="C18" s="34" t="inlineStr">
        <is>
          <t>CORE</t>
        </is>
      </c>
      <c r="D18" s="35" t="inlineStr">
        <is>
          <t>UX/Responsive</t>
        </is>
      </c>
      <c r="E18" s="35" t="inlineStr">
        <is>
          <t>Responsive hoàn hảo trên các độ phân giải: Mobile, Tablet, Laptop, Màn hình lớn</t>
        </is>
      </c>
      <c r="F18" s="24" t="inlineStr">
        <is>
          <t>✓</t>
        </is>
      </c>
      <c r="G18" s="6" t="inlineStr">
        <is>
          <t>✓</t>
        </is>
      </c>
    </row>
    <row r="19" ht="20" customHeight="1">
      <c r="A19" s="29" t="inlineStr">
        <is>
          <t>M01</t>
        </is>
      </c>
      <c r="B19" s="30" t="inlineStr">
        <is>
          <t>UX/UI Học viện Ẩm thực &amp; Nền tảng Niềm tin</t>
        </is>
      </c>
      <c r="C19" s="31" t="inlineStr">
        <is>
          <t>CORE</t>
        </is>
      </c>
      <c r="D19" s="22" t="inlineStr">
        <is>
          <t>UX/Responsive</t>
        </is>
      </c>
      <c r="E19" s="22" t="inlineStr">
        <is>
          <t>Nút CTA 'Đăng ký tư vấn ngay' và 'Xem lịch khai giảng' nổi bật, cố định trên mobile</t>
        </is>
      </c>
      <c r="F19" s="24" t="inlineStr">
        <is>
          <t>✓</t>
        </is>
      </c>
      <c r="G19" s="6" t="inlineStr">
        <is>
          <t>✓</t>
        </is>
      </c>
    </row>
    <row r="20" ht="20" customHeight="1">
      <c r="A20" s="32" t="inlineStr">
        <is>
          <t>M01</t>
        </is>
      </c>
      <c r="B20" s="33" t="inlineStr">
        <is>
          <t>UX/UI Học viện Ẩm thực &amp; Nền tảng Niềm tin</t>
        </is>
      </c>
      <c r="C20" s="34" t="inlineStr">
        <is>
          <t>CORE</t>
        </is>
      </c>
      <c r="D20" s="35" t="inlineStr">
        <is>
          <t>UX/Responsive</t>
        </is>
      </c>
      <c r="E20" s="35" t="inlineStr">
        <is>
          <t>Hiển thị trạng thái Loading Skeleton, Submit form spinner, Thông báo kết quả tức thì</t>
        </is>
      </c>
      <c r="F20" s="24" t="inlineStr">
        <is>
          <t>✓</t>
        </is>
      </c>
      <c r="G20" s="6" t="inlineStr">
        <is>
          <t>✓</t>
        </is>
      </c>
    </row>
    <row r="21" ht="20" customHeight="1">
      <c r="A21" s="29" t="inlineStr">
        <is>
          <t>M01</t>
        </is>
      </c>
      <c r="B21" s="30" t="inlineStr">
        <is>
          <t>UX/UI Học viện Ẩm thực &amp; Nền tảng Niềm tin</t>
        </is>
      </c>
      <c r="C21" s="31" t="inlineStr">
        <is>
          <t>CORE</t>
        </is>
      </c>
      <c r="D21" s="22" t="inlineStr">
        <is>
          <t>UX/Responsive</t>
        </is>
      </c>
      <c r="E21" s="22" t="inlineStr">
        <is>
          <t>Chuẩn hóa form nhập liệu, tự động validate số điện thoại Việt Nam 10 chữ số</t>
        </is>
      </c>
      <c r="F21" s="24" t="inlineStr">
        <is>
          <t>✓</t>
        </is>
      </c>
      <c r="G21" s="6" t="inlineStr">
        <is>
          <t>✓</t>
        </is>
      </c>
    </row>
    <row r="22" ht="20" customHeight="1">
      <c r="A22" s="32" t="inlineStr">
        <is>
          <t>M01</t>
        </is>
      </c>
      <c r="B22" s="33" t="inlineStr">
        <is>
          <t>UX/UI Học viện Ẩm thực &amp; Nền tảng Niềm tin</t>
        </is>
      </c>
      <c r="C22" s="34" t="inlineStr">
        <is>
          <t>CORE</t>
        </is>
      </c>
      <c r="D22" s="35" t="inlineStr">
        <is>
          <t>UX/Responsive</t>
        </is>
      </c>
      <c r="E22" s="35" t="inlineStr">
        <is>
          <t>Thanh điều hướng Breadcrumb thông minh giúp học viên không bị mất phương hướng</t>
        </is>
      </c>
      <c r="F22" s="24" t="inlineStr">
        <is>
          <t>✓</t>
        </is>
      </c>
      <c r="G22" s="6" t="inlineStr">
        <is>
          <t>✓</t>
        </is>
      </c>
    </row>
    <row r="23" ht="20" customHeight="1">
      <c r="A23" s="29" t="inlineStr">
        <is>
          <t>M01</t>
        </is>
      </c>
      <c r="B23" s="30" t="inlineStr">
        <is>
          <t>UX/UI Học viện Ẩm thực &amp; Nền tảng Niềm tin</t>
        </is>
      </c>
      <c r="C23" s="31" t="inlineStr">
        <is>
          <t>CORE</t>
        </is>
      </c>
      <c r="D23" s="22" t="inlineStr">
        <is>
          <t>UX/Responsive</t>
        </is>
      </c>
      <c r="E23" s="22" t="inlineStr">
        <is>
          <t>Nút liên hệ nhanh đa kênh cố định góc màn hình: Gọi Hotline, Nhắn Zalo OA, Fanpage</t>
        </is>
      </c>
      <c r="F23" s="24" t="inlineStr">
        <is>
          <t>✓</t>
        </is>
      </c>
      <c r="G23" s="6" t="inlineStr">
        <is>
          <t>✓</t>
        </is>
      </c>
    </row>
    <row r="24" ht="20" customHeight="1">
      <c r="A24" s="32" t="inlineStr">
        <is>
          <t>M01</t>
        </is>
      </c>
      <c r="B24" s="33" t="inlineStr">
        <is>
          <t>UX/UI Học viện Ẩm thực &amp; Nền tảng Niềm tin</t>
        </is>
      </c>
      <c r="C24" s="34" t="inlineStr">
        <is>
          <t>CORE</t>
        </is>
      </c>
      <c r="D24" s="35" t="inlineStr">
        <is>
          <t>UX/Responsive</t>
        </is>
      </c>
      <c r="E24" s="35" t="inlineStr">
        <is>
          <t>Tích hợp tính năng chuyển đổi giao diện Sáng / Tối (Dark / Light Theme Toggle)</t>
        </is>
      </c>
      <c r="F24" s="24" t="inlineStr">
        <is>
          <t>✓</t>
        </is>
      </c>
      <c r="G24" s="6" t="inlineStr">
        <is>
          <t>✓</t>
        </is>
      </c>
    </row>
    <row r="25" ht="20" customHeight="1">
      <c r="A25" s="29" t="inlineStr">
        <is>
          <t>M01</t>
        </is>
      </c>
      <c r="B25" s="30" t="inlineStr">
        <is>
          <t>UX/UI Học viện Ẩm thực &amp; Nền tảng Niềm tin</t>
        </is>
      </c>
      <c r="C25" s="31" t="inlineStr">
        <is>
          <t>CORE</t>
        </is>
      </c>
      <c r="D25" s="22" t="inlineStr">
        <is>
          <t>Trust UI</t>
        </is>
      </c>
      <c r="E25" s="22" t="inlineStr">
        <is>
          <t>Khối thông tin pháp nhân trung tâm đào tạo, mã số doanh nghiệp và cơ sở thực nghiệm</t>
        </is>
      </c>
      <c r="F25" s="24" t="inlineStr">
        <is>
          <t>✓</t>
        </is>
      </c>
      <c r="G25" s="6" t="inlineStr">
        <is>
          <t>✓</t>
        </is>
      </c>
    </row>
    <row r="26" ht="20" customHeight="1">
      <c r="A26" s="32" t="inlineStr">
        <is>
          <t>M01</t>
        </is>
      </c>
      <c r="B26" s="33" t="inlineStr">
        <is>
          <t>UX/UI Học viện Ẩm thực &amp; Nền tảng Niềm tin</t>
        </is>
      </c>
      <c r="C26" s="34" t="inlineStr">
        <is>
          <t>CORE</t>
        </is>
      </c>
      <c r="D26" s="35" t="inlineStr">
        <is>
          <t>Trust UI</t>
        </is>
      </c>
      <c r="E26" s="35" t="inlineStr">
        <is>
          <t>Trust badges: Cam kết chuẩn vị truyền thống, Cầm tay chỉ việc 100%, Hỗ trợ mở quán</t>
        </is>
      </c>
      <c r="F26" s="24" t="inlineStr">
        <is>
          <t>✓</t>
        </is>
      </c>
      <c r="G26" s="6" t="inlineStr">
        <is>
          <t>✓</t>
        </is>
      </c>
    </row>
    <row r="27" ht="20" customHeight="1">
      <c r="A27" s="29" t="inlineStr">
        <is>
          <t>M01</t>
        </is>
      </c>
      <c r="B27" s="30" t="inlineStr">
        <is>
          <t>UX/UI Học viện Ẩm thực &amp; Nền tảng Niềm tin</t>
        </is>
      </c>
      <c r="C27" s="31" t="inlineStr">
        <is>
          <t>CORE</t>
        </is>
      </c>
      <c r="D27" s="22" t="inlineStr">
        <is>
          <t>Trust UI</t>
        </is>
      </c>
      <c r="E27" s="22" t="inlineStr">
        <is>
          <t>Khối chứng nhận nghệ nhân ẩm thực, cúp vàng danh hiệu của đội ngũ giảng viên</t>
        </is>
      </c>
      <c r="F27" s="24" t="inlineStr">
        <is>
          <t>✓</t>
        </is>
      </c>
      <c r="G27" s="6" t="inlineStr">
        <is>
          <t>✓</t>
        </is>
      </c>
    </row>
    <row r="28" ht="20" customHeight="1">
      <c r="A28" s="32" t="inlineStr">
        <is>
          <t>M01</t>
        </is>
      </c>
      <c r="B28" s="33" t="inlineStr">
        <is>
          <t>UX/UI Học viện Ẩm thực &amp; Nền tảng Niềm tin</t>
        </is>
      </c>
      <c r="C28" s="34" t="inlineStr">
        <is>
          <t>CORE</t>
        </is>
      </c>
      <c r="D28" s="35" t="inlineStr">
        <is>
          <t>Trust UI</t>
        </is>
      </c>
      <c r="E28" s="35" t="inlineStr">
        <is>
          <t>Hiển thị liên kết chính sách đào tạo, quy định học phí và bảo lưu tại mọi form đăng ký</t>
        </is>
      </c>
      <c r="F28" s="24" t="inlineStr">
        <is>
          <t>✓</t>
        </is>
      </c>
      <c r="G28" s="6" t="inlineStr">
        <is>
          <t>✓</t>
        </is>
      </c>
    </row>
    <row r="29" ht="20" customHeight="1">
      <c r="A29" s="29" t="inlineStr">
        <is>
          <t>M02</t>
        </is>
      </c>
      <c r="B29" s="30" t="inlineStr">
        <is>
          <t>CMS + Nội dung Thương hiệu, Quy chế &amp; Pháp lý</t>
        </is>
      </c>
      <c r="C29" s="31" t="inlineStr">
        <is>
          <t>CORE</t>
        </is>
      </c>
      <c r="D29" s="22" t="inlineStr">
        <is>
          <t>CMS quản trị</t>
        </is>
      </c>
      <c r="E29" s="22" t="inlineStr">
        <is>
          <t>Hệ thống quản lý trang nội dung tĩnh tập trung trong back-office</t>
        </is>
      </c>
      <c r="F29" s="24" t="inlineStr">
        <is>
          <t>✓</t>
        </is>
      </c>
      <c r="G29" s="6" t="inlineStr">
        <is>
          <t>✓</t>
        </is>
      </c>
    </row>
    <row r="30" ht="20" customHeight="1">
      <c r="A30" s="32" t="inlineStr">
        <is>
          <t>M02</t>
        </is>
      </c>
      <c r="B30" s="33" t="inlineStr">
        <is>
          <t>CMS + Nội dung Thương hiệu, Quy chế &amp; Pháp lý</t>
        </is>
      </c>
      <c r="C30" s="34" t="inlineStr">
        <is>
          <t>CORE</t>
        </is>
      </c>
      <c r="D30" s="35" t="inlineStr">
        <is>
          <t>CMS quản trị</t>
        </is>
      </c>
      <c r="E30" s="35" t="inlineStr">
        <is>
          <t>Quản lý nội dung trang Giới thiệu Về DuaxCar: Lịch sử hình thành, Sứ mệnh, Tầm nhìn</t>
        </is>
      </c>
      <c r="F30" s="24" t="inlineStr">
        <is>
          <t>✓</t>
        </is>
      </c>
      <c r="G30" s="6" t="inlineStr">
        <is>
          <t>✓</t>
        </is>
      </c>
    </row>
    <row r="31" ht="20" customHeight="1">
      <c r="A31" s="29" t="inlineStr">
        <is>
          <t>M02</t>
        </is>
      </c>
      <c r="B31" s="30" t="inlineStr">
        <is>
          <t>CMS + Nội dung Thương hiệu, Quy chế &amp; Pháp lý</t>
        </is>
      </c>
      <c r="C31" s="31" t="inlineStr">
        <is>
          <t>CORE</t>
        </is>
      </c>
      <c r="D31" s="22" t="inlineStr">
        <is>
          <t>CMS quản trị</t>
        </is>
      </c>
      <c r="E31" s="22" t="inlineStr">
        <is>
          <t>Quản lý hình ảnh và bài giới thiệu cơ sở vật chất khu vực bếp thực hành</t>
        </is>
      </c>
      <c r="F31" s="24" t="inlineStr">
        <is>
          <t>✓</t>
        </is>
      </c>
      <c r="G31" s="6" t="inlineStr">
        <is>
          <t>✓</t>
        </is>
      </c>
    </row>
    <row r="32" ht="20" customHeight="1">
      <c r="A32" s="32" t="inlineStr">
        <is>
          <t>M02</t>
        </is>
      </c>
      <c r="B32" s="33" t="inlineStr">
        <is>
          <t>CMS + Nội dung Thương hiệu, Quy chế &amp; Pháp lý</t>
        </is>
      </c>
      <c r="C32" s="34" t="inlineStr">
        <is>
          <t>CORE</t>
        </is>
      </c>
      <c r="D32" s="35" t="inlineStr">
        <is>
          <t>CMS quản trị</t>
        </is>
      </c>
      <c r="E32" s="35" t="inlineStr">
        <is>
          <t>Quản lý bộ câu hỏi thường gặp (FAQ) phân theo nhóm chuyên đề tuyển sinh</t>
        </is>
      </c>
      <c r="F32" s="24" t="inlineStr">
        <is>
          <t>✓</t>
        </is>
      </c>
      <c r="G32" s="6" t="inlineStr">
        <is>
          <t>✓</t>
        </is>
      </c>
    </row>
    <row r="33" ht="20" customHeight="1">
      <c r="A33" s="29" t="inlineStr">
        <is>
          <t>M02</t>
        </is>
      </c>
      <c r="B33" s="30" t="inlineStr">
        <is>
          <t>CMS + Nội dung Thương hiệu, Quy chế &amp; Pháp lý</t>
        </is>
      </c>
      <c r="C33" s="31" t="inlineStr">
        <is>
          <t>CORE</t>
        </is>
      </c>
      <c r="D33" s="22" t="inlineStr">
        <is>
          <t>CMS quản trị</t>
        </is>
      </c>
      <c r="E33" s="22" t="inlineStr">
        <is>
          <t>Thêm, sửa, sắp xếp thứ tự ưu tiên và xóa câu hỏi FAQ trực tiếp trên giao diện</t>
        </is>
      </c>
      <c r="F33" s="24" t="inlineStr">
        <is>
          <t>✓</t>
        </is>
      </c>
      <c r="G33" s="6" t="inlineStr">
        <is>
          <t>✓</t>
        </is>
      </c>
    </row>
    <row r="34" ht="20" customHeight="1">
      <c r="A34" s="32" t="inlineStr">
        <is>
          <t>M02</t>
        </is>
      </c>
      <c r="B34" s="33" t="inlineStr">
        <is>
          <t>CMS + Nội dung Thương hiệu, Quy chế &amp; Pháp lý</t>
        </is>
      </c>
      <c r="C34" s="34" t="inlineStr">
        <is>
          <t>CORE</t>
        </is>
      </c>
      <c r="D34" s="35" t="inlineStr">
        <is>
          <t>CMS quản trị</t>
        </is>
      </c>
      <c r="E34" s="35" t="inlineStr">
        <is>
          <t>Quản lý Banner Slider / Hero Carousel trang chủ (ảnh, tiêu đề, mô tả, nút bấm, link)</t>
        </is>
      </c>
      <c r="F34" s="24" t="inlineStr">
        <is>
          <t>✓</t>
        </is>
      </c>
      <c r="G34" s="6" t="inlineStr">
        <is>
          <t>✓</t>
        </is>
      </c>
    </row>
    <row r="35" ht="20" customHeight="1">
      <c r="A35" s="29" t="inlineStr">
        <is>
          <t>M02</t>
        </is>
      </c>
      <c r="B35" s="30" t="inlineStr">
        <is>
          <t>CMS + Nội dung Thương hiệu, Quy chế &amp; Pháp lý</t>
        </is>
      </c>
      <c r="C35" s="31" t="inlineStr">
        <is>
          <t>CORE</t>
        </is>
      </c>
      <c r="D35" s="22" t="inlineStr">
        <is>
          <t>CMS quản trị</t>
        </is>
      </c>
      <c r="E35" s="22" t="inlineStr">
        <is>
          <t>Quản lý nội dung thanh thông báo nổi bật (Top bar announcement) cho chiến dịch ưu đãi</t>
        </is>
      </c>
      <c r="F35" s="24" t="inlineStr">
        <is>
          <t>✓</t>
        </is>
      </c>
      <c r="G35" s="6" t="inlineStr">
        <is>
          <t>✓</t>
        </is>
      </c>
    </row>
    <row r="36" ht="20" customHeight="1">
      <c r="A36" s="32" t="inlineStr">
        <is>
          <t>M02</t>
        </is>
      </c>
      <c r="B36" s="33" t="inlineStr">
        <is>
          <t>CMS + Nội dung Thương hiệu, Quy chế &amp; Pháp lý</t>
        </is>
      </c>
      <c r="C36" s="34" t="inlineStr">
        <is>
          <t>CORE</t>
        </is>
      </c>
      <c r="D36" s="35" t="inlineStr">
        <is>
          <t>CMS quản trị</t>
        </is>
      </c>
      <c r="E36" s="35" t="inlineStr">
        <is>
          <t>Quản lý thông tin liên hệ: Hotline chính, Hotline tư vấn 24/7, Email tuyển sinh, Giờ làm việc</t>
        </is>
      </c>
      <c r="F36" s="24" t="inlineStr">
        <is>
          <t>✓</t>
        </is>
      </c>
      <c r="G36" s="6" t="inlineStr">
        <is>
          <t>✓</t>
        </is>
      </c>
    </row>
    <row r="37" ht="20" customHeight="1">
      <c r="A37" s="29" t="inlineStr">
        <is>
          <t>M02</t>
        </is>
      </c>
      <c r="B37" s="30" t="inlineStr">
        <is>
          <t>CMS + Nội dung Thương hiệu, Quy chế &amp; Pháp lý</t>
        </is>
      </c>
      <c r="C37" s="31" t="inlineStr">
        <is>
          <t>CORE</t>
        </is>
      </c>
      <c r="D37" s="22" t="inlineStr">
        <is>
          <t>CMS quản trị</t>
        </is>
      </c>
      <c r="E37" s="22" t="inlineStr">
        <is>
          <t>Quản lý địa chỉ các cơ sở đào tạo bếp và mã nhúng Google Maps định vị</t>
        </is>
      </c>
      <c r="F37" s="24" t="inlineStr">
        <is>
          <t>✓</t>
        </is>
      </c>
      <c r="G37" s="6" t="inlineStr">
        <is>
          <t>✓</t>
        </is>
      </c>
    </row>
    <row r="38" ht="20" customHeight="1">
      <c r="A38" s="32" t="inlineStr">
        <is>
          <t>M02</t>
        </is>
      </c>
      <c r="B38" s="33" t="inlineStr">
        <is>
          <t>CMS + Nội dung Thương hiệu, Quy chế &amp; Pháp lý</t>
        </is>
      </c>
      <c r="C38" s="34" t="inlineStr">
        <is>
          <t>CORE</t>
        </is>
      </c>
      <c r="D38" s="35" t="inlineStr">
        <is>
          <t>CMS quản trị</t>
        </is>
      </c>
      <c r="E38" s="35" t="inlineStr">
        <is>
          <t>Quản lý liên kết mạng xã hội chính thức: Fanpage Facebook, TikTok, YouTube, Zalo</t>
        </is>
      </c>
      <c r="F38" s="24" t="inlineStr">
        <is>
          <t>✓</t>
        </is>
      </c>
      <c r="G38" s="6" t="inlineStr">
        <is>
          <t>✓</t>
        </is>
      </c>
    </row>
    <row r="39" ht="20" customHeight="1">
      <c r="A39" s="29" t="inlineStr">
        <is>
          <t>M02</t>
        </is>
      </c>
      <c r="B39" s="30" t="inlineStr">
        <is>
          <t>CMS + Nội dung Thương hiệu, Quy chế &amp; Pháp lý</t>
        </is>
      </c>
      <c r="C39" s="31" t="inlineStr">
        <is>
          <t>CORE</t>
        </is>
      </c>
      <c r="D39" s="22" t="inlineStr">
        <is>
          <t>CMS quản trị</t>
        </is>
      </c>
      <c r="E39" s="22" t="inlineStr">
        <is>
          <t>Biên tập trực tiếp nội dung các trang chính sách pháp lý mà không cần can thiệp mã nguồn</t>
        </is>
      </c>
      <c r="F39" s="24" t="inlineStr">
        <is>
          <t>✓</t>
        </is>
      </c>
      <c r="G39" s="6" t="inlineStr">
        <is>
          <t>✓</t>
        </is>
      </c>
    </row>
    <row r="40" ht="20" customHeight="1">
      <c r="A40" s="32" t="inlineStr">
        <is>
          <t>M02</t>
        </is>
      </c>
      <c r="B40" s="33" t="inlineStr">
        <is>
          <t>CMS + Nội dung Thương hiệu, Quy chế &amp; Pháp lý</t>
        </is>
      </c>
      <c r="C40" s="34" t="inlineStr">
        <is>
          <t>CORE</t>
        </is>
      </c>
      <c r="D40" s="35" t="inlineStr">
        <is>
          <t>CMS quản trị</t>
        </is>
      </c>
      <c r="E40" s="35" t="inlineStr">
        <is>
          <t>Cấu hình SEO Meta Title, Meta Description, Open Graph cho từng trang nội dung</t>
        </is>
      </c>
      <c r="F40" s="24" t="inlineStr">
        <is>
          <t>✓</t>
        </is>
      </c>
      <c r="G40" s="6" t="inlineStr">
        <is>
          <t>✓</t>
        </is>
      </c>
    </row>
    <row r="41" ht="20" customHeight="1">
      <c r="A41" s="29" t="inlineStr">
        <is>
          <t>M02</t>
        </is>
      </c>
      <c r="B41" s="30" t="inlineStr">
        <is>
          <t>CMS + Nội dung Thương hiệu, Quy chế &amp; Pháp lý</t>
        </is>
      </c>
      <c r="C41" s="31" t="inlineStr">
        <is>
          <t>CORE</t>
        </is>
      </c>
      <c r="D41" s="22" t="inlineStr">
        <is>
          <t>Nội dung pháp lý</t>
        </is>
      </c>
      <c r="E41" s="22" t="inlineStr">
        <is>
          <t>Trang Điều khoản dịch vụ &amp; Quy chế đào tạo của học viện ẩm thực</t>
        </is>
      </c>
      <c r="F41" s="24" t="inlineStr">
        <is>
          <t>✓</t>
        </is>
      </c>
      <c r="G41" s="6" t="inlineStr">
        <is>
          <t>✓</t>
        </is>
      </c>
    </row>
    <row r="42" ht="20" customHeight="1">
      <c r="A42" s="32" t="inlineStr">
        <is>
          <t>M02</t>
        </is>
      </c>
      <c r="B42" s="33" t="inlineStr">
        <is>
          <t>CMS + Nội dung Thương hiệu, Quy chế &amp; Pháp lý</t>
        </is>
      </c>
      <c r="C42" s="34" t="inlineStr">
        <is>
          <t>CORE</t>
        </is>
      </c>
      <c r="D42" s="35" t="inlineStr">
        <is>
          <t>Nội dung pháp lý</t>
        </is>
      </c>
      <c r="E42" s="35" t="inlineStr">
        <is>
          <t>Trang Chính sách bảo mật thông tin cá nhân học viên theo quy định pháp luật</t>
        </is>
      </c>
      <c r="F42" s="24" t="inlineStr">
        <is>
          <t>✓</t>
        </is>
      </c>
      <c r="G42" s="6" t="inlineStr">
        <is>
          <t>✓</t>
        </is>
      </c>
    </row>
    <row r="43" ht="20" customHeight="1">
      <c r="A43" s="29" t="inlineStr">
        <is>
          <t>M02</t>
        </is>
      </c>
      <c r="B43" s="30" t="inlineStr">
        <is>
          <t>CMS + Nội dung Thương hiệu, Quy chế &amp; Pháp lý</t>
        </is>
      </c>
      <c r="C43" s="31" t="inlineStr">
        <is>
          <t>CORE</t>
        </is>
      </c>
      <c r="D43" s="22" t="inlineStr">
        <is>
          <t>Nội dung pháp lý</t>
        </is>
      </c>
      <c r="E43" s="22" t="inlineStr">
        <is>
          <t>Trang Chính sách thanh toán học phí, quy định đặt cọc giữ chỗ và quy chế bảo lưu</t>
        </is>
      </c>
      <c r="F43" s="24" t="inlineStr">
        <is>
          <t>✓</t>
        </is>
      </c>
      <c r="G43" s="6" t="inlineStr">
        <is>
          <t>✓</t>
        </is>
      </c>
    </row>
    <row r="44" ht="20" customHeight="1">
      <c r="A44" s="32" t="inlineStr">
        <is>
          <t>M02</t>
        </is>
      </c>
      <c r="B44" s="33" t="inlineStr">
        <is>
          <t>CMS + Nội dung Thương hiệu, Quy chế &amp; Pháp lý</t>
        </is>
      </c>
      <c r="C44" s="34" t="inlineStr">
        <is>
          <t>CORE</t>
        </is>
      </c>
      <c r="D44" s="35" t="inlineStr">
        <is>
          <t>Nội dung pháp lý</t>
        </is>
      </c>
      <c r="E44" s="35" t="inlineStr">
        <is>
          <t>Trang Thông tin pháp nhân doanh nghiệp, giấy phép kinh doanh và địa chỉ đăng ký</t>
        </is>
      </c>
      <c r="F44" s="24" t="inlineStr">
        <is>
          <t>✓</t>
        </is>
      </c>
      <c r="G44" s="6" t="inlineStr">
        <is>
          <t>✓</t>
        </is>
      </c>
    </row>
    <row r="45" ht="20" customHeight="1">
      <c r="A45" s="29" t="inlineStr">
        <is>
          <t>M02</t>
        </is>
      </c>
      <c r="B45" s="30" t="inlineStr">
        <is>
          <t>CMS + Nội dung Thương hiệu, Quy chế &amp; Pháp lý</t>
        </is>
      </c>
      <c r="C45" s="31" t="inlineStr">
        <is>
          <t>CORE</t>
        </is>
      </c>
      <c r="D45" s="22" t="inlineStr">
        <is>
          <t>Nội dung thương hiệu</t>
        </is>
      </c>
      <c r="E45" s="22" t="inlineStr">
        <is>
          <t>Trang Về chúng tôi (Giới thiệu câu chuyện ẩm thực truyền thống &amp; triết lý thực chiến)</t>
        </is>
      </c>
      <c r="F45" s="24" t="inlineStr">
        <is>
          <t>✓</t>
        </is>
      </c>
      <c r="G45" s="6" t="inlineStr">
        <is>
          <t>✓</t>
        </is>
      </c>
    </row>
    <row r="46" ht="20" customHeight="1">
      <c r="A46" s="32" t="inlineStr">
        <is>
          <t>M02</t>
        </is>
      </c>
      <c r="B46" s="33" t="inlineStr">
        <is>
          <t>CMS + Nội dung Thương hiệu, Quy chế &amp; Pháp lý</t>
        </is>
      </c>
      <c r="C46" s="34" t="inlineStr">
        <is>
          <t>CORE</t>
        </is>
      </c>
      <c r="D46" s="35" t="inlineStr">
        <is>
          <t>Nội dung thương hiệu</t>
        </is>
      </c>
      <c r="E46" s="35" t="inlineStr">
        <is>
          <t>Trang Liên hệ &amp; Đặt lịch tham quan trực tiếp xưởng bếp thực hành</t>
        </is>
      </c>
      <c r="F46" s="24" t="inlineStr">
        <is>
          <t>✓</t>
        </is>
      </c>
      <c r="G46" s="6" t="inlineStr">
        <is>
          <t>✓</t>
        </is>
      </c>
    </row>
    <row r="47" ht="20" customHeight="1">
      <c r="A47" s="29" t="inlineStr">
        <is>
          <t>M02</t>
        </is>
      </c>
      <c r="B47" s="30" t="inlineStr">
        <is>
          <t>CMS + Nội dung Thương hiệu, Quy chế &amp; Pháp lý</t>
        </is>
      </c>
      <c r="C47" s="31" t="inlineStr">
        <is>
          <t>CORE</t>
        </is>
      </c>
      <c r="D47" s="22" t="inlineStr">
        <is>
          <t>Nội dung thương hiệu</t>
        </is>
      </c>
      <c r="E47" s="22" t="inlineStr">
        <is>
          <t>Trang Câu hỏi thường gặp (FAQ) tích hợp Accordion đóng/mở mượt mà</t>
        </is>
      </c>
      <c r="F47" s="24" t="inlineStr">
        <is>
          <t>✓</t>
        </is>
      </c>
      <c r="G47" s="6" t="inlineStr">
        <is>
          <t>✓</t>
        </is>
      </c>
    </row>
    <row r="48" ht="20" customHeight="1">
      <c r="A48" s="32" t="inlineStr">
        <is>
          <t>M02</t>
        </is>
      </c>
      <c r="B48" s="33" t="inlineStr">
        <is>
          <t>CMS + Nội dung Thương hiệu, Quy chế &amp; Pháp lý</t>
        </is>
      </c>
      <c r="C48" s="34" t="inlineStr">
        <is>
          <t>CORE</t>
        </is>
      </c>
      <c r="D48" s="35" t="inlineStr">
        <is>
          <t>Nội dung thương hiệu</t>
        </is>
      </c>
      <c r="E48" s="35" t="inlineStr">
        <is>
          <t>Khối triết lý đào tạo: 'Học nghề thực chiến - Nắm công thức chuẩn - Tự tin mở quán'</t>
        </is>
      </c>
      <c r="F48" s="24" t="inlineStr">
        <is>
          <t>✓</t>
        </is>
      </c>
      <c r="G48" s="6" t="inlineStr">
        <is>
          <t>✓</t>
        </is>
      </c>
    </row>
    <row r="49" ht="20" customHeight="1">
      <c r="A49" s="29" t="inlineStr">
        <is>
          <t>M02</t>
        </is>
      </c>
      <c r="B49" s="30" t="inlineStr">
        <is>
          <t>CMS + Nội dung Thương hiệu, Quy chế &amp; Pháp lý</t>
        </is>
      </c>
      <c r="C49" s="31" t="inlineStr">
        <is>
          <t>CORE</t>
        </is>
      </c>
      <c r="D49" s="22" t="inlineStr">
        <is>
          <t>Nội dung thương hiệu</t>
        </is>
      </c>
      <c r="E49" s="22" t="inlineStr">
        <is>
          <t>Khối cam kết quyền lợi học viên: Hỗ trợ tư vấn menu, setup bếp và bảo lưu học tập</t>
        </is>
      </c>
      <c r="F49" s="24" t="inlineStr">
        <is>
          <t>✓</t>
        </is>
      </c>
      <c r="G49" s="6" t="inlineStr">
        <is>
          <t>✓</t>
        </is>
      </c>
    </row>
    <row r="50" ht="20" customHeight="1">
      <c r="A50" s="32" t="inlineStr">
        <is>
          <t>M02</t>
        </is>
      </c>
      <c r="B50" s="33" t="inlineStr">
        <is>
          <t>CMS + Nội dung Thương hiệu, Quy chế &amp; Pháp lý</t>
        </is>
      </c>
      <c r="C50" s="34" t="inlineStr">
        <is>
          <t>CORE</t>
        </is>
      </c>
      <c r="D50" s="35" t="inlineStr">
        <is>
          <t>Nội dung thương hiệu</t>
        </is>
      </c>
      <c r="E50" s="35" t="inlineStr">
        <is>
          <t>Khối chứng thực xã hội (Social Proof): Ý kiến đánh giá của học viên đã thành nghề</t>
        </is>
      </c>
      <c r="F50" s="24" t="inlineStr">
        <is>
          <t>✓</t>
        </is>
      </c>
      <c r="G50" s="6" t="inlineStr">
        <is>
          <t>✓</t>
        </is>
      </c>
    </row>
    <row r="51" ht="20" customHeight="1">
      <c r="A51" s="29" t="inlineStr">
        <is>
          <t>M02</t>
        </is>
      </c>
      <c r="B51" s="30" t="inlineStr">
        <is>
          <t>CMS + Nội dung Thương hiệu, Quy chế &amp; Pháp lý</t>
        </is>
      </c>
      <c r="C51" s="31" t="inlineStr">
        <is>
          <t>CORE</t>
        </is>
      </c>
      <c r="D51" s="22" t="inlineStr">
        <is>
          <t>Nội dung thương hiệu</t>
        </is>
      </c>
      <c r="E51" s="22" t="inlineStr">
        <is>
          <t>Hệ thống Layout trang chính sách pháp lý chuẩn mực (PolicyLayout component)</t>
        </is>
      </c>
      <c r="F51" s="24" t="inlineStr">
        <is>
          <t>✓</t>
        </is>
      </c>
      <c r="G51" s="6" t="inlineStr">
        <is>
          <t>✓</t>
        </is>
      </c>
    </row>
    <row r="52" ht="20" customHeight="1">
      <c r="A52" s="32" t="inlineStr">
        <is>
          <t>M02</t>
        </is>
      </c>
      <c r="B52" s="33" t="inlineStr">
        <is>
          <t>CMS + Nội dung Thương hiệu, Quy chế &amp; Pháp lý</t>
        </is>
      </c>
      <c r="C52" s="34" t="inlineStr">
        <is>
          <t>CORE</t>
        </is>
      </c>
      <c r="D52" s="35" t="inlineStr">
        <is>
          <t>Nội dung thương hiệu</t>
        </is>
      </c>
      <c r="E52" s="35" t="inlineStr">
        <is>
          <t>Cơ chế Fallback nội dung mặc định đảm bảo trang web không bao giờ bị trống dữ liệu</t>
        </is>
      </c>
      <c r="F52" s="24" t="inlineStr">
        <is>
          <t>✓</t>
        </is>
      </c>
      <c r="G52" s="6" t="inlineStr">
        <is>
          <t>✓</t>
        </is>
      </c>
    </row>
    <row r="53" ht="20" customHeight="1">
      <c r="A53" s="29" t="inlineStr">
        <is>
          <t>M03</t>
        </is>
      </c>
      <c r="B53" s="30" t="inlineStr">
        <is>
          <t>Catalogue Khóa học &amp; Bộ lọc Tìm kiếm Đa tiêu chí</t>
        </is>
      </c>
      <c r="C53" s="31" t="inlineStr">
        <is>
          <t>CORE</t>
        </is>
      </c>
      <c r="D53" s="22" t="inlineStr">
        <is>
          <t>Catalogue/Admin</t>
        </is>
      </c>
      <c r="E53" s="22" t="inlineStr">
        <is>
          <t>Quản lý danh mục chuyên đề ẩm thực: Món ăn sáng, Lẩu nướng, Món ốc, Bếp trưởng...</t>
        </is>
      </c>
      <c r="F53" s="24" t="inlineStr">
        <is>
          <t>✓</t>
        </is>
      </c>
      <c r="G53" s="6" t="inlineStr">
        <is>
          <t>✓</t>
        </is>
      </c>
    </row>
    <row r="54" ht="20" customHeight="1">
      <c r="A54" s="32" t="inlineStr">
        <is>
          <t>M03</t>
        </is>
      </c>
      <c r="B54" s="33" t="inlineStr">
        <is>
          <t>Catalogue Khóa học &amp; Bộ lọc Tìm kiếm Đa tiêu chí</t>
        </is>
      </c>
      <c r="C54" s="34" t="inlineStr">
        <is>
          <t>CORE</t>
        </is>
      </c>
      <c r="D54" s="35" t="inlineStr">
        <is>
          <t>Catalogue/Admin</t>
        </is>
      </c>
      <c r="E54" s="35" t="inlineStr">
        <is>
          <t>Phân loại hình thức học: Trực tiếp tại xưởng bếp (Onsite) &amp; Học Online/E-learning</t>
        </is>
      </c>
      <c r="F54" s="24" t="inlineStr">
        <is>
          <t>✓</t>
        </is>
      </c>
      <c r="G54" s="6" t="inlineStr">
        <is>
          <t>✓</t>
        </is>
      </c>
    </row>
    <row r="55" ht="20" customHeight="1">
      <c r="A55" s="29" t="inlineStr">
        <is>
          <t>M03</t>
        </is>
      </c>
      <c r="B55" s="30" t="inlineStr">
        <is>
          <t>Catalogue Khóa học &amp; Bộ lọc Tìm kiếm Đa tiêu chí</t>
        </is>
      </c>
      <c r="C55" s="31" t="inlineStr">
        <is>
          <t>CORE</t>
        </is>
      </c>
      <c r="D55" s="22" t="inlineStr">
        <is>
          <t>Catalogue/Admin</t>
        </is>
      </c>
      <c r="E55" s="22" t="inlineStr">
        <is>
          <t>Phân loại mục tiêu học: Học nghề mở quán kinh doanh trọn gói / Học 1-kèm-1 theo yêu cầu</t>
        </is>
      </c>
      <c r="F55" s="24" t="inlineStr">
        <is>
          <t>✓</t>
        </is>
      </c>
      <c r="G55" s="6" t="inlineStr">
        <is>
          <t>✓</t>
        </is>
      </c>
    </row>
    <row r="56" ht="20" customHeight="1">
      <c r="A56" s="32" t="inlineStr">
        <is>
          <t>M03</t>
        </is>
      </c>
      <c r="B56" s="33" t="inlineStr">
        <is>
          <t>Catalogue Khóa học &amp; Bộ lọc Tìm kiếm Đa tiêu chí</t>
        </is>
      </c>
      <c r="C56" s="34" t="inlineStr">
        <is>
          <t>CORE</t>
        </is>
      </c>
      <c r="D56" s="35" t="inlineStr">
        <is>
          <t>Catalogue/Admin</t>
        </is>
      </c>
      <c r="E56" s="35" t="inlineStr">
        <is>
          <t>Quản lý thông tin khóa học: Tên khóa học, Mã khóa, Slug SEO URL duy nhất</t>
        </is>
      </c>
      <c r="F56" s="24" t="inlineStr">
        <is>
          <t>✓</t>
        </is>
      </c>
      <c r="G56" s="6" t="inlineStr">
        <is>
          <t>✓</t>
        </is>
      </c>
    </row>
    <row r="57" ht="20" customHeight="1">
      <c r="A57" s="29" t="inlineStr">
        <is>
          <t>M03</t>
        </is>
      </c>
      <c r="B57" s="30" t="inlineStr">
        <is>
          <t>Catalogue Khóa học &amp; Bộ lọc Tìm kiếm Đa tiêu chí</t>
        </is>
      </c>
      <c r="C57" s="31" t="inlineStr">
        <is>
          <t>CORE</t>
        </is>
      </c>
      <c r="D57" s="22" t="inlineStr">
        <is>
          <t>Catalogue/Admin</t>
        </is>
      </c>
      <c r="E57" s="22" t="inlineStr">
        <is>
          <t>Cấu hình học phí niêm yết, giá ưu đãi hoặc tùy chọn 'Liên hệ nhận báo giá ưu đãi'</t>
        </is>
      </c>
      <c r="F57" s="24" t="inlineStr">
        <is>
          <t>✓</t>
        </is>
      </c>
      <c r="G57" s="6" t="inlineStr">
        <is>
          <t>✓</t>
        </is>
      </c>
    </row>
    <row r="58" ht="20" customHeight="1">
      <c r="A58" s="32" t="inlineStr">
        <is>
          <t>M03</t>
        </is>
      </c>
      <c r="B58" s="33" t="inlineStr">
        <is>
          <t>Catalogue Khóa học &amp; Bộ lọc Tìm kiếm Đa tiêu chí</t>
        </is>
      </c>
      <c r="C58" s="34" t="inlineStr">
        <is>
          <t>CORE</t>
        </is>
      </c>
      <c r="D58" s="35" t="inlineStr">
        <is>
          <t>Catalogue/Admin</t>
        </is>
      </c>
      <c r="E58" s="35" t="inlineStr">
        <is>
          <t>Cấu hình thời lượng khóa học: Số buổi học, tổng số giờ thực hành thực tế tại bếp</t>
        </is>
      </c>
      <c r="F58" s="24" t="inlineStr">
        <is>
          <t>✓</t>
        </is>
      </c>
      <c r="G58" s="6" t="inlineStr">
        <is>
          <t>✓</t>
        </is>
      </c>
    </row>
    <row r="59" ht="20" customHeight="1">
      <c r="A59" s="29" t="inlineStr">
        <is>
          <t>M03</t>
        </is>
      </c>
      <c r="B59" s="30" t="inlineStr">
        <is>
          <t>Catalogue Khóa học &amp; Bộ lọc Tìm kiếm Đa tiêu chí</t>
        </is>
      </c>
      <c r="C59" s="31" t="inlineStr">
        <is>
          <t>CORE</t>
        </is>
      </c>
      <c r="D59" s="22" t="inlineStr">
        <is>
          <t>Catalogue/Admin</t>
        </is>
      </c>
      <c r="E59" s="22" t="inlineStr">
        <is>
          <t>Giới hạn sĩ số học viên tối đa mỗi lớp (đảm bảo kèm cặp từng học viên)</t>
        </is>
      </c>
      <c r="F59" s="24" t="inlineStr">
        <is>
          <t>✓</t>
        </is>
      </c>
      <c r="G59" s="6" t="inlineStr">
        <is>
          <t>✓</t>
        </is>
      </c>
    </row>
    <row r="60" ht="20" customHeight="1">
      <c r="A60" s="32" t="inlineStr">
        <is>
          <t>M03</t>
        </is>
      </c>
      <c r="B60" s="33" t="inlineStr">
        <is>
          <t>Catalogue Khóa học &amp; Bộ lọc Tìm kiếm Đa tiêu chí</t>
        </is>
      </c>
      <c r="C60" s="34" t="inlineStr">
        <is>
          <t>CORE</t>
        </is>
      </c>
      <c r="D60" s="35" t="inlineStr">
        <is>
          <t>Catalogue/Admin</t>
        </is>
      </c>
      <c r="E60" s="35" t="inlineStr">
        <is>
          <t>Gán giảng viên / Master Chef phụ trách chính cho từng khóa học</t>
        </is>
      </c>
      <c r="F60" s="24" t="inlineStr">
        <is>
          <t>✓</t>
        </is>
      </c>
      <c r="G60" s="6" t="inlineStr">
        <is>
          <t>✓</t>
        </is>
      </c>
    </row>
    <row r="61" ht="20" customHeight="1">
      <c r="A61" s="29" t="inlineStr">
        <is>
          <t>M03</t>
        </is>
      </c>
      <c r="B61" s="30" t="inlineStr">
        <is>
          <t>Catalogue Khóa học &amp; Bộ lọc Tìm kiếm Đa tiêu chí</t>
        </is>
      </c>
      <c r="C61" s="31" t="inlineStr">
        <is>
          <t>CORE</t>
        </is>
      </c>
      <c r="D61" s="22" t="inlineStr">
        <is>
          <t>Catalogue/Admin</t>
        </is>
      </c>
      <c r="E61" s="22" t="inlineStr">
        <is>
          <t>Quản lý ảnh đại diện chất lượng cao cho từng khóa học</t>
        </is>
      </c>
      <c r="F61" s="24" t="inlineStr">
        <is>
          <t>✓</t>
        </is>
      </c>
      <c r="G61" s="6" t="inlineStr">
        <is>
          <t>✓</t>
        </is>
      </c>
    </row>
    <row r="62" ht="20" customHeight="1">
      <c r="A62" s="32" t="inlineStr">
        <is>
          <t>M03</t>
        </is>
      </c>
      <c r="B62" s="33" t="inlineStr">
        <is>
          <t>Catalogue Khóa học &amp; Bộ lọc Tìm kiếm Đa tiêu chí</t>
        </is>
      </c>
      <c r="C62" s="34" t="inlineStr">
        <is>
          <t>CORE</t>
        </is>
      </c>
      <c r="D62" s="35" t="inlineStr">
        <is>
          <t>Catalogue/Admin</t>
        </is>
      </c>
      <c r="E62" s="35" t="inlineStr">
        <is>
          <t>Quản lý bộ thẻ điểm nổi bật (Course Highlights): Công thức độc quyền, Hỗ trợ mở quán...</t>
        </is>
      </c>
      <c r="F62" s="24" t="inlineStr">
        <is>
          <t>✓</t>
        </is>
      </c>
      <c r="G62" s="6" t="inlineStr">
        <is>
          <t>✓</t>
        </is>
      </c>
    </row>
    <row r="63" ht="20" customHeight="1">
      <c r="A63" s="29" t="inlineStr">
        <is>
          <t>M03</t>
        </is>
      </c>
      <c r="B63" s="30" t="inlineStr">
        <is>
          <t>Catalogue Khóa học &amp; Bộ lọc Tìm kiếm Đa tiêu chí</t>
        </is>
      </c>
      <c r="C63" s="31" t="inlineStr">
        <is>
          <t>CORE</t>
        </is>
      </c>
      <c r="D63" s="22" t="inlineStr">
        <is>
          <t>Catalogue/Admin</t>
        </is>
      </c>
      <c r="E63" s="22" t="inlineStr">
        <is>
          <t>Bật/Tắt trạng thái Khóa học nổi bật (Featured Course) hiển thị trang chủ</t>
        </is>
      </c>
      <c r="F63" s="24" t="inlineStr">
        <is>
          <t>✓</t>
        </is>
      </c>
      <c r="G63" s="6" t="inlineStr">
        <is>
          <t>✓</t>
        </is>
      </c>
    </row>
    <row r="64" ht="20" customHeight="1">
      <c r="A64" s="32" t="inlineStr">
        <is>
          <t>M03</t>
        </is>
      </c>
      <c r="B64" s="33" t="inlineStr">
        <is>
          <t>Catalogue Khóa học &amp; Bộ lọc Tìm kiếm Đa tiêu chí</t>
        </is>
      </c>
      <c r="C64" s="34" t="inlineStr">
        <is>
          <t>CORE</t>
        </is>
      </c>
      <c r="D64" s="35" t="inlineStr">
        <is>
          <t>Catalogue/Admin</t>
        </is>
      </c>
      <c r="E64" s="35" t="inlineStr">
        <is>
          <t>Bật/Tắt trạng thái tuyển sinh của khóa học (Đang mở lớp / Tạm dừng tuyển sinh)</t>
        </is>
      </c>
      <c r="F64" s="24" t="inlineStr">
        <is>
          <t>✓</t>
        </is>
      </c>
      <c r="G64" s="6" t="inlineStr">
        <is>
          <t>✓</t>
        </is>
      </c>
    </row>
    <row r="65" ht="20" customHeight="1">
      <c r="A65" s="29" t="inlineStr">
        <is>
          <t>M03</t>
        </is>
      </c>
      <c r="B65" s="30" t="inlineStr">
        <is>
          <t>Catalogue Khóa học &amp; Bộ lọc Tìm kiếm Đa tiêu chí</t>
        </is>
      </c>
      <c r="C65" s="31" t="inlineStr">
        <is>
          <t>CORE</t>
        </is>
      </c>
      <c r="D65" s="22" t="inlineStr">
        <is>
          <t>UI Khóa học</t>
        </is>
      </c>
      <c r="E65" s="22" t="inlineStr">
        <is>
          <t>Hiển thị Thẻ khóa học trực quan (Course Card) với đầy đủ thông tin tóm tắt</t>
        </is>
      </c>
      <c r="F65" s="24" t="inlineStr">
        <is>
          <t>✓</t>
        </is>
      </c>
      <c r="G65" s="6" t="inlineStr">
        <is>
          <t>✓</t>
        </is>
      </c>
    </row>
    <row r="66" ht="20" customHeight="1">
      <c r="A66" s="32" t="inlineStr">
        <is>
          <t>M03</t>
        </is>
      </c>
      <c r="B66" s="33" t="inlineStr">
        <is>
          <t>Catalogue Khóa học &amp; Bộ lọc Tìm kiếm Đa tiêu chí</t>
        </is>
      </c>
      <c r="C66" s="34" t="inlineStr">
        <is>
          <t>CORE</t>
        </is>
      </c>
      <c r="D66" s="35" t="inlineStr">
        <is>
          <t>UI Khóa học</t>
        </is>
      </c>
      <c r="E66" s="35" t="inlineStr">
        <is>
          <t>Huy hiệu nhận diện hình thức học (Học tại bếp / E-learning / 1-kèm-1)</t>
        </is>
      </c>
      <c r="F66" s="24" t="inlineStr">
        <is>
          <t>✓</t>
        </is>
      </c>
      <c r="G66" s="6" t="inlineStr">
        <is>
          <t>✓</t>
        </is>
      </c>
    </row>
    <row r="67" ht="20" customHeight="1">
      <c r="A67" s="29" t="inlineStr">
        <is>
          <t>M03</t>
        </is>
      </c>
      <c r="B67" s="30" t="inlineStr">
        <is>
          <t>Catalogue Khóa học &amp; Bộ lọc Tìm kiếm Đa tiêu chí</t>
        </is>
      </c>
      <c r="C67" s="31" t="inlineStr">
        <is>
          <t>CORE</t>
        </is>
      </c>
      <c r="D67" s="22" t="inlineStr">
        <is>
          <t>UI Khóa học</t>
        </is>
      </c>
      <c r="E67" s="22" t="inlineStr">
        <is>
          <t>Hiển thị mức học phí minh bạch hoặc nút gọi tư vấn học phí ưu đãi</t>
        </is>
      </c>
      <c r="F67" s="24" t="inlineStr">
        <is>
          <t>✓</t>
        </is>
      </c>
      <c r="G67" s="6" t="inlineStr">
        <is>
          <t>✓</t>
        </is>
      </c>
    </row>
    <row r="68" ht="20" customHeight="1">
      <c r="A68" s="32" t="inlineStr">
        <is>
          <t>M03</t>
        </is>
      </c>
      <c r="B68" s="33" t="inlineStr">
        <is>
          <t>Catalogue Khóa học &amp; Bộ lọc Tìm kiếm Đa tiêu chí</t>
        </is>
      </c>
      <c r="C68" s="34" t="inlineStr">
        <is>
          <t>CORE</t>
        </is>
      </c>
      <c r="D68" s="35" t="inlineStr">
        <is>
          <t>UI Khóa học</t>
        </is>
      </c>
      <c r="E68" s="35" t="inlineStr">
        <is>
          <t>Hiển thị thông tin giảng viên đứng lớp và avatar Master Chef ngay trên thẻ khóa học</t>
        </is>
      </c>
      <c r="F68" s="24" t="inlineStr">
        <is>
          <t>✓</t>
        </is>
      </c>
      <c r="G68" s="6" t="inlineStr">
        <is>
          <t>✓</t>
        </is>
      </c>
    </row>
    <row r="69" ht="20" customHeight="1">
      <c r="A69" s="29" t="inlineStr">
        <is>
          <t>M03</t>
        </is>
      </c>
      <c r="B69" s="30" t="inlineStr">
        <is>
          <t>Catalogue Khóa học &amp; Bộ lọc Tìm kiếm Đa tiêu chí</t>
        </is>
      </c>
      <c r="C69" s="31" t="inlineStr">
        <is>
          <t>CORE</t>
        </is>
      </c>
      <c r="D69" s="22" t="inlineStr">
        <is>
          <t>Tìm kiếm &amp; Lọc</t>
        </is>
      </c>
      <c r="E69" s="22" t="inlineStr">
        <is>
          <t>Tìm kiếm khóa học theo tên món, tên khóa học hoặc kỹ năng ẩm thực</t>
        </is>
      </c>
      <c r="F69" s="24" t="inlineStr">
        <is>
          <t>✓</t>
        </is>
      </c>
      <c r="G69" s="6" t="inlineStr">
        <is>
          <t>✓</t>
        </is>
      </c>
    </row>
    <row r="70" ht="20" customHeight="1">
      <c r="A70" s="32" t="inlineStr">
        <is>
          <t>M03</t>
        </is>
      </c>
      <c r="B70" s="33" t="inlineStr">
        <is>
          <t>Catalogue Khóa học &amp; Bộ lọc Tìm kiếm Đa tiêu chí</t>
        </is>
      </c>
      <c r="C70" s="34" t="inlineStr">
        <is>
          <t>CORE</t>
        </is>
      </c>
      <c r="D70" s="35" t="inlineStr">
        <is>
          <t>Tìm kiếm &amp; Lọc</t>
        </is>
      </c>
      <c r="E70" s="35" t="inlineStr">
        <is>
          <t>Bộ lọc nhanh theo danh mục chuyên đề món ăn (Món sáng, Ốc &amp; hải sản, Lẩu nướng...)</t>
        </is>
      </c>
      <c r="F70" s="24" t="inlineStr">
        <is>
          <t>✓</t>
        </is>
      </c>
      <c r="G70" s="6" t="inlineStr">
        <is>
          <t>✓</t>
        </is>
      </c>
    </row>
    <row r="71" ht="20" customHeight="1">
      <c r="A71" s="29" t="inlineStr">
        <is>
          <t>M03</t>
        </is>
      </c>
      <c r="B71" s="30" t="inlineStr">
        <is>
          <t>Catalogue Khóa học &amp; Bộ lọc Tìm kiếm Đa tiêu chí</t>
        </is>
      </c>
      <c r="C71" s="31" t="inlineStr">
        <is>
          <t>CORE</t>
        </is>
      </c>
      <c r="D71" s="22" t="inlineStr">
        <is>
          <t>Tìm kiếm &amp; Lọc</t>
        </is>
      </c>
      <c r="E71" s="22" t="inlineStr">
        <is>
          <t>Bộ lọc theo hình thức đào tạo (Học tại bếp, Học mở quán, Học trực tuyến)</t>
        </is>
      </c>
      <c r="F71" s="24" t="inlineStr">
        <is>
          <t>✓</t>
        </is>
      </c>
      <c r="G71" s="6" t="inlineStr">
        <is>
          <t>✓</t>
        </is>
      </c>
    </row>
    <row r="72" ht="20" customHeight="1">
      <c r="A72" s="32" t="inlineStr">
        <is>
          <t>M03</t>
        </is>
      </c>
      <c r="B72" s="33" t="inlineStr">
        <is>
          <t>Catalogue Khóa học &amp; Bộ lọc Tìm kiếm Đa tiêu chí</t>
        </is>
      </c>
      <c r="C72" s="34" t="inlineStr">
        <is>
          <t>CORE</t>
        </is>
      </c>
      <c r="D72" s="35" t="inlineStr">
        <is>
          <t>Tìm kiếm &amp; Lọc</t>
        </is>
      </c>
      <c r="E72" s="35" t="inlineStr">
        <is>
          <t>Sắp xếp khóa học theo: Khóa học nổi bật, Mới nhất, Học phí tăng/giảm dần</t>
        </is>
      </c>
      <c r="F72" s="24" t="inlineStr">
        <is>
          <t>✓</t>
        </is>
      </c>
      <c r="G72" s="6" t="inlineStr">
        <is>
          <t>✓</t>
        </is>
      </c>
    </row>
    <row r="73" ht="20" customHeight="1">
      <c r="A73" s="29" t="inlineStr">
        <is>
          <t>M03</t>
        </is>
      </c>
      <c r="B73" s="30" t="inlineStr">
        <is>
          <t>Catalogue Khóa học &amp; Bộ lọc Tìm kiếm Đa tiêu chí</t>
        </is>
      </c>
      <c r="C73" s="31" t="inlineStr">
        <is>
          <t>CORE</t>
        </is>
      </c>
      <c r="D73" s="22" t="inlineStr">
        <is>
          <t>Tìm kiếm &amp; Lọc</t>
        </is>
      </c>
      <c r="E73" s="22" t="inlineStr">
        <is>
          <t>Trang hiển thị kết quả tìm kiếm với số lượng khóa học tìm thấy</t>
        </is>
      </c>
      <c r="F73" s="24" t="inlineStr">
        <is>
          <t>✓</t>
        </is>
      </c>
      <c r="G73" s="6" t="inlineStr">
        <is>
          <t>✓</t>
        </is>
      </c>
    </row>
    <row r="74" ht="20" customHeight="1">
      <c r="A74" s="32" t="inlineStr">
        <is>
          <t>M03</t>
        </is>
      </c>
      <c r="B74" s="33" t="inlineStr">
        <is>
          <t>Catalogue Khóa học &amp; Bộ lọc Tìm kiếm Đa tiêu chí</t>
        </is>
      </c>
      <c r="C74" s="34" t="inlineStr">
        <is>
          <t>CORE</t>
        </is>
      </c>
      <c r="D74" s="35" t="inlineStr">
        <is>
          <t>Tìm kiếm &amp; Lọc</t>
        </is>
      </c>
      <c r="E74" s="35" t="inlineStr">
        <is>
          <t>Giao diện thân thiện khi không tìm thấy khóa học kèm gợi ý đăng ký tư vấn theo yêu cầu</t>
        </is>
      </c>
      <c r="F74" s="24" t="inlineStr">
        <is>
          <t>✓</t>
        </is>
      </c>
      <c r="G74" s="6" t="inlineStr">
        <is>
          <t>✓</t>
        </is>
      </c>
    </row>
    <row r="75" ht="20" customHeight="1">
      <c r="A75" s="29" t="inlineStr">
        <is>
          <t>M03</t>
        </is>
      </c>
      <c r="B75" s="30" t="inlineStr">
        <is>
          <t>Catalogue Khóa học &amp; Bộ lọc Tìm kiếm Đa tiêu chí</t>
        </is>
      </c>
      <c r="C75" s="31" t="inlineStr">
        <is>
          <t>CORE</t>
        </is>
      </c>
      <c r="D75" s="22" t="inlineStr">
        <is>
          <t>Tìm kiếm &amp; Lọc</t>
        </is>
      </c>
      <c r="E75" s="22" t="inlineStr">
        <is>
          <t>Đồng bộ bộ lọc URL parameters giúp học viên dễ dàng chia sẻ liên kết tìm kiếm</t>
        </is>
      </c>
      <c r="F75" s="24" t="inlineStr">
        <is>
          <t>✓</t>
        </is>
      </c>
      <c r="G75" s="6" t="inlineStr">
        <is>
          <t>✓</t>
        </is>
      </c>
    </row>
    <row r="76" ht="20" customHeight="1">
      <c r="A76" s="32" t="inlineStr">
        <is>
          <t>M04</t>
        </is>
      </c>
      <c r="B76" s="33" t="inlineStr">
        <is>
          <t>Chi tiết Khóa học &amp; Giáo trình Đào tạo Thực chiến</t>
        </is>
      </c>
      <c r="C76" s="34" t="inlineStr">
        <is>
          <t>CORE</t>
        </is>
      </c>
      <c r="D76" s="35" t="inlineStr">
        <is>
          <t>Trang chi tiết</t>
        </is>
      </c>
      <c r="E76" s="35" t="inlineStr">
        <is>
          <t>Trang chi tiết khóa học chuẩn cấu trúc tối ưu SEO (/khoa-hoc/[slug])</t>
        </is>
      </c>
      <c r="F76" s="24" t="inlineStr">
        <is>
          <t>✓</t>
        </is>
      </c>
      <c r="G76" s="6" t="inlineStr">
        <is>
          <t>✓</t>
        </is>
      </c>
    </row>
    <row r="77" ht="20" customHeight="1">
      <c r="A77" s="29" t="inlineStr">
        <is>
          <t>M04</t>
        </is>
      </c>
      <c r="B77" s="30" t="inlineStr">
        <is>
          <t>Chi tiết Khóa học &amp; Giáo trình Đào tạo Thực chiến</t>
        </is>
      </c>
      <c r="C77" s="31" t="inlineStr">
        <is>
          <t>CORE</t>
        </is>
      </c>
      <c r="D77" s="22" t="inlineStr">
        <is>
          <t>Trang chi tiết</t>
        </is>
      </c>
      <c r="E77" s="22" t="inlineStr">
        <is>
          <t>Khối Hero khóa học: Tên khóa, chuyên mục, học phí ưu đãi, đánh giá sao từ học viên</t>
        </is>
      </c>
      <c r="F77" s="24" t="inlineStr">
        <is>
          <t>✓</t>
        </is>
      </c>
      <c r="G77" s="6" t="inlineStr">
        <is>
          <t>✓</t>
        </is>
      </c>
    </row>
    <row r="78" ht="20" customHeight="1">
      <c r="A78" s="32" t="inlineStr">
        <is>
          <t>M04</t>
        </is>
      </c>
      <c r="B78" s="33" t="inlineStr">
        <is>
          <t>Chi tiết Khóa học &amp; Giáo trình Đào tạo Thực chiến</t>
        </is>
      </c>
      <c r="C78" s="34" t="inlineStr">
        <is>
          <t>CORE</t>
        </is>
      </c>
      <c r="D78" s="35" t="inlineStr">
        <is>
          <t>Trang chi tiết</t>
        </is>
      </c>
      <c r="E78" s="35" t="inlineStr">
        <is>
          <t>Thư viện hình ảnh thực tế các món ăn thành phẩm học viên sẽ được trực tiếp thực hành</t>
        </is>
      </c>
      <c r="F78" s="24" t="inlineStr">
        <is>
          <t>✓</t>
        </is>
      </c>
      <c r="G78" s="6" t="inlineStr">
        <is>
          <t>✓</t>
        </is>
      </c>
    </row>
    <row r="79" ht="20" customHeight="1">
      <c r="A79" s="29" t="inlineStr">
        <is>
          <t>M04</t>
        </is>
      </c>
      <c r="B79" s="30" t="inlineStr">
        <is>
          <t>Chi tiết Khóa học &amp; Giáo trình Đào tạo Thực chiến</t>
        </is>
      </c>
      <c r="C79" s="31" t="inlineStr">
        <is>
          <t>CORE</t>
        </is>
      </c>
      <c r="D79" s="22" t="inlineStr">
        <is>
          <t>Trang chi tiết</t>
        </is>
      </c>
      <c r="E79" s="22" t="inlineStr">
        <is>
          <t>Video trailer / Giới thiệu khóa học và kỹ năng chế biến của Master Chef</t>
        </is>
      </c>
      <c r="F79" s="24" t="inlineStr">
        <is>
          <t>✓</t>
        </is>
      </c>
      <c r="G79" s="6" t="inlineStr">
        <is>
          <t>✓</t>
        </is>
      </c>
    </row>
    <row r="80" ht="20" customHeight="1">
      <c r="A80" s="32" t="inlineStr">
        <is>
          <t>M04</t>
        </is>
      </c>
      <c r="B80" s="33" t="inlineStr">
        <is>
          <t>Chi tiết Khóa học &amp; Giáo trình Đào tạo Thực chiến</t>
        </is>
      </c>
      <c r="C80" s="34" t="inlineStr">
        <is>
          <t>CORE</t>
        </is>
      </c>
      <c r="D80" s="35" t="inlineStr">
        <is>
          <t>Trang chi tiết</t>
        </is>
      </c>
      <c r="E80" s="35" t="inlineStr">
        <is>
          <t>Bảng thông số lớp học: Thời lượng (số buổi), Giới hạn học viên, Hình thức thực hành</t>
        </is>
      </c>
      <c r="F80" s="24" t="inlineStr">
        <is>
          <t>✓</t>
        </is>
      </c>
      <c r="G80" s="6" t="inlineStr">
        <is>
          <t>✓</t>
        </is>
      </c>
    </row>
    <row r="81" ht="20" customHeight="1">
      <c r="A81" s="29" t="inlineStr">
        <is>
          <t>M04</t>
        </is>
      </c>
      <c r="B81" s="30" t="inlineStr">
        <is>
          <t>Chi tiết Khóa học &amp; Giáo trình Đào tạo Thực chiến</t>
        </is>
      </c>
      <c r="C81" s="31" t="inlineStr">
        <is>
          <t>CORE</t>
        </is>
      </c>
      <c r="D81" s="22" t="inlineStr">
        <is>
          <t>Trang chi tiết</t>
        </is>
      </c>
      <c r="E81" s="22" t="inlineStr">
        <is>
          <t>Khối Điểm nổi bật (Highlights): Cung cấp công thức chuẩn gram, hướng dẫn tính giá cost</t>
        </is>
      </c>
      <c r="F81" s="24" t="inlineStr">
        <is>
          <t>✓</t>
        </is>
      </c>
      <c r="G81" s="6" t="inlineStr">
        <is>
          <t>✓</t>
        </is>
      </c>
    </row>
    <row r="82" ht="20" customHeight="1">
      <c r="A82" s="32" t="inlineStr">
        <is>
          <t>M04</t>
        </is>
      </c>
      <c r="B82" s="33" t="inlineStr">
        <is>
          <t>Chi tiết Khóa học &amp; Giáo trình Đào tạo Thực chiến</t>
        </is>
      </c>
      <c r="C82" s="34" t="inlineStr">
        <is>
          <t>CORE</t>
        </is>
      </c>
      <c r="D82" s="35" t="inlineStr">
        <is>
          <t>Trang chi tiết</t>
        </is>
      </c>
      <c r="E82" s="35" t="inlineStr">
        <is>
          <t>Khối Quyền lợi học viên: 100% nguyên liệu tươi sạch, đồng phục, dụng cụ bếp tại chỗ</t>
        </is>
      </c>
      <c r="F82" s="24" t="inlineStr">
        <is>
          <t>✓</t>
        </is>
      </c>
      <c r="G82" s="6" t="inlineStr">
        <is>
          <t>✓</t>
        </is>
      </c>
    </row>
    <row r="83" ht="20" customHeight="1">
      <c r="A83" s="29" t="inlineStr">
        <is>
          <t>M04</t>
        </is>
      </c>
      <c r="B83" s="30" t="inlineStr">
        <is>
          <t>Chi tiết Khóa học &amp; Giáo trình Đào tạo Thực chiến</t>
        </is>
      </c>
      <c r="C83" s="31" t="inlineStr">
        <is>
          <t>CORE</t>
        </is>
      </c>
      <c r="D83" s="22" t="inlineStr">
        <is>
          <t>Trang chi tiết</t>
        </is>
      </c>
      <c r="E83" s="22" t="inlineStr">
        <is>
          <t>Khối Cam kết đầu ra: Học lại miễn phí nếu chưa vững tay nghề, hỗ trợ sau khóa học</t>
        </is>
      </c>
      <c r="F83" s="24" t="inlineStr">
        <is>
          <t>✓</t>
        </is>
      </c>
      <c r="G83" s="6" t="inlineStr">
        <is>
          <t>✓</t>
        </is>
      </c>
    </row>
    <row r="84" ht="20" customHeight="1">
      <c r="A84" s="32" t="inlineStr">
        <is>
          <t>M04</t>
        </is>
      </c>
      <c r="B84" s="33" t="inlineStr">
        <is>
          <t>Chi tiết Khóa học &amp; Giáo trình Đào tạo Thực chiến</t>
        </is>
      </c>
      <c r="C84" s="34" t="inlineStr">
        <is>
          <t>CORE</t>
        </is>
      </c>
      <c r="D84" s="35" t="inlineStr">
        <is>
          <t>Curriculum Accordion</t>
        </is>
      </c>
      <c r="E84" s="35" t="inlineStr">
        <is>
          <t>Giáo trình chi tiết tương tác dạng Accordion chia theo từng module / buổi học</t>
        </is>
      </c>
      <c r="F84" s="24" t="inlineStr">
        <is>
          <t>✓</t>
        </is>
      </c>
      <c r="G84" s="6" t="inlineStr">
        <is>
          <t>✓</t>
        </is>
      </c>
    </row>
    <row r="85" ht="20" customHeight="1">
      <c r="A85" s="29" t="inlineStr">
        <is>
          <t>M04</t>
        </is>
      </c>
      <c r="B85" s="30" t="inlineStr">
        <is>
          <t>Chi tiết Khóa học &amp; Giáo trình Đào tạo Thực chiến</t>
        </is>
      </c>
      <c r="C85" s="31" t="inlineStr">
        <is>
          <t>CORE</t>
        </is>
      </c>
      <c r="D85" s="22" t="inlineStr">
        <is>
          <t>Curriculum Accordion</t>
        </is>
      </c>
      <c r="E85" s="22" t="inlineStr">
        <is>
          <t>Buổi 1: Lựa chọn, thẩm định và kỹ thuật sơ chế nguyên liệu tươi sống chuẩn nhà hàng</t>
        </is>
      </c>
      <c r="F85" s="24" t="inlineStr">
        <is>
          <t>✓</t>
        </is>
      </c>
      <c r="G85" s="6" t="inlineStr">
        <is>
          <t>✓</t>
        </is>
      </c>
    </row>
    <row r="86" ht="20" customHeight="1">
      <c r="A86" s="32" t="inlineStr">
        <is>
          <t>M04</t>
        </is>
      </c>
      <c r="B86" s="33" t="inlineStr">
        <is>
          <t>Chi tiết Khóa học &amp; Giáo trình Đào tạo Thực chiến</t>
        </is>
      </c>
      <c r="C86" s="34" t="inlineStr">
        <is>
          <t>CORE</t>
        </is>
      </c>
      <c r="D86" s="35" t="inlineStr">
        <is>
          <t>Curriculum Accordion</t>
        </is>
      </c>
      <c r="E86" s="35" t="inlineStr">
        <is>
          <t>Buổi 2: Kỹ thuật xử lý nhiệt, hầm nước dùng trong ngọt và công thức pha chế sốt cốt độc quyền</t>
        </is>
      </c>
      <c r="F86" s="24" t="inlineStr">
        <is>
          <t>✓</t>
        </is>
      </c>
      <c r="G86" s="6" t="inlineStr">
        <is>
          <t>✓</t>
        </is>
      </c>
    </row>
    <row r="87" ht="20" customHeight="1">
      <c r="A87" s="29" t="inlineStr">
        <is>
          <t>M04</t>
        </is>
      </c>
      <c r="B87" s="30" t="inlineStr">
        <is>
          <t>Chi tiết Khóa học &amp; Giáo trình Đào tạo Thực chiến</t>
        </is>
      </c>
      <c r="C87" s="31" t="inlineStr">
        <is>
          <t>CORE</t>
        </is>
      </c>
      <c r="D87" s="22" t="inlineStr">
        <is>
          <t>Curriculum Accordion</t>
        </is>
      </c>
      <c r="E87" s="22" t="inlineStr">
        <is>
          <t>Buổi 3: Thực hành chế biến chuyên sâu, kỹ thuật canh lửa, nêm nếm và ra món chuẩn tốc độ quán</t>
        </is>
      </c>
      <c r="F87" s="24" t="inlineStr">
        <is>
          <t>✓</t>
        </is>
      </c>
      <c r="G87" s="6" t="inlineStr">
        <is>
          <t>✓</t>
        </is>
      </c>
    </row>
    <row r="88" ht="20" customHeight="1">
      <c r="A88" s="32" t="inlineStr">
        <is>
          <t>M04</t>
        </is>
      </c>
      <c r="B88" s="33" t="inlineStr">
        <is>
          <t>Chi tiết Khóa học &amp; Giáo trình Đào tạo Thực chiến</t>
        </is>
      </c>
      <c r="C88" s="34" t="inlineStr">
        <is>
          <t>CORE</t>
        </is>
      </c>
      <c r="D88" s="35" t="inlineStr">
        <is>
          <t>Curriculum Accordion</t>
        </is>
      </c>
      <c r="E88" s="35" t="inlineStr">
        <is>
          <t>Buổi 4: Tính toán giá cost nguyên liệu, định giá bán menu và thiết lập quy trình vận hành bếp quán</t>
        </is>
      </c>
      <c r="F88" s="24" t="inlineStr">
        <is>
          <t>✓</t>
        </is>
      </c>
      <c r="G88" s="6" t="inlineStr">
        <is>
          <t>✓</t>
        </is>
      </c>
    </row>
    <row r="89" ht="20" customHeight="1">
      <c r="A89" s="29" t="inlineStr">
        <is>
          <t>M04</t>
        </is>
      </c>
      <c r="B89" s="30" t="inlineStr">
        <is>
          <t>Chi tiết Khóa học &amp; Giáo trình Đào tạo Thực chiến</t>
        </is>
      </c>
      <c r="C89" s="31" t="inlineStr">
        <is>
          <t>CORE</t>
        </is>
      </c>
      <c r="D89" s="22" t="inlineStr">
        <is>
          <t>Curriculum Accordion</t>
        </is>
      </c>
      <c r="E89" s="22" t="inlineStr">
        <is>
          <t>Hiển thị danh sách chi tiết các bài học, kỹ năng và công thức đạt được trong từng buổi</t>
        </is>
      </c>
      <c r="F89" s="24" t="inlineStr">
        <is>
          <t>✓</t>
        </is>
      </c>
      <c r="G89" s="6" t="inlineStr">
        <is>
          <t>✓</t>
        </is>
      </c>
    </row>
    <row r="90" ht="20" customHeight="1">
      <c r="A90" s="32" t="inlineStr">
        <is>
          <t>M04</t>
        </is>
      </c>
      <c r="B90" s="33" t="inlineStr">
        <is>
          <t>Chi tiết Khóa học &amp; Giáo trình Đào tạo Thực chiến</t>
        </is>
      </c>
      <c r="C90" s="34" t="inlineStr">
        <is>
          <t>CORE</t>
        </is>
      </c>
      <c r="D90" s="35" t="inlineStr">
        <is>
          <t>Thông tin giảng viên</t>
        </is>
      </c>
      <c r="E90" s="35" t="inlineStr">
        <is>
          <t>Khối thông tin Giảng viên phụ trách lớp: Chân dung, danh hiệu, số năm kinh nghiệm</t>
        </is>
      </c>
      <c r="F90" s="24" t="inlineStr">
        <is>
          <t>✓</t>
        </is>
      </c>
      <c r="G90" s="6" t="inlineStr">
        <is>
          <t>✓</t>
        </is>
      </c>
    </row>
    <row r="91" ht="20" customHeight="1">
      <c r="A91" s="29" t="inlineStr">
        <is>
          <t>M04</t>
        </is>
      </c>
      <c r="B91" s="30" t="inlineStr">
        <is>
          <t>Chi tiết Khóa học &amp; Giáo trình Đào tạo Thực chiến</t>
        </is>
      </c>
      <c r="C91" s="31" t="inlineStr">
        <is>
          <t>CORE</t>
        </is>
      </c>
      <c r="D91" s="22" t="inlineStr">
        <is>
          <t>Thông tin giảng viên</t>
        </is>
      </c>
      <c r="E91" s="22" t="inlineStr">
        <is>
          <t>Liên kết xem hồ sơ chi tiết và các giải thưởng ẩm thực của Master Chef</t>
        </is>
      </c>
      <c r="F91" s="24" t="inlineStr">
        <is>
          <t>✓</t>
        </is>
      </c>
      <c r="G91" s="6" t="inlineStr">
        <is>
          <t>✓</t>
        </is>
      </c>
    </row>
    <row r="92" ht="20" customHeight="1">
      <c r="A92" s="32" t="inlineStr">
        <is>
          <t>M04</t>
        </is>
      </c>
      <c r="B92" s="33" t="inlineStr">
        <is>
          <t>Chi tiết Khóa học &amp; Giáo trình Đào tạo Thực chiến</t>
        </is>
      </c>
      <c r="C92" s="34" t="inlineStr">
        <is>
          <t>CORE</t>
        </is>
      </c>
      <c r="D92" s="35" t="inlineStr">
        <is>
          <t>Đăng ký khóa học</t>
        </is>
      </c>
      <c r="E92" s="35" t="inlineStr">
        <is>
          <t>Thanh CTA nổi bật cố định (Sticky Bar) hiển thị học phí và nút Đăng ký tư vấn</t>
        </is>
      </c>
      <c r="F92" s="24" t="inlineStr">
        <is>
          <t>✓</t>
        </is>
      </c>
      <c r="G92" s="6" t="inlineStr">
        <is>
          <t>✓</t>
        </is>
      </c>
    </row>
    <row r="93" ht="20" customHeight="1">
      <c r="A93" s="29" t="inlineStr">
        <is>
          <t>M04</t>
        </is>
      </c>
      <c r="B93" s="30" t="inlineStr">
        <is>
          <t>Chi tiết Khóa học &amp; Giáo trình Đào tạo Thực chiến</t>
        </is>
      </c>
      <c r="C93" s="31" t="inlineStr">
        <is>
          <t>CORE</t>
        </is>
      </c>
      <c r="D93" s="22" t="inlineStr">
        <is>
          <t>Đăng ký khóa học</t>
        </is>
      </c>
      <c r="E93" s="22" t="inlineStr">
        <is>
          <t>Modal đăng ký tư vấn trực tiếp gắn liền với thông tin khóa học hiện tại</t>
        </is>
      </c>
      <c r="F93" s="24" t="inlineStr">
        <is>
          <t>✓</t>
        </is>
      </c>
      <c r="G93" s="6" t="inlineStr">
        <is>
          <t>✓</t>
        </is>
      </c>
    </row>
    <row r="94" ht="20" customHeight="1">
      <c r="A94" s="32" t="inlineStr">
        <is>
          <t>M04</t>
        </is>
      </c>
      <c r="B94" s="33" t="inlineStr">
        <is>
          <t>Chi tiết Khóa học &amp; Giáo trình Đào tạo Thực chiến</t>
        </is>
      </c>
      <c r="C94" s="34" t="inlineStr">
        <is>
          <t>CORE</t>
        </is>
      </c>
      <c r="D94" s="35" t="inlineStr">
        <is>
          <t>Đăng ký khóa học</t>
        </is>
      </c>
      <c r="E94" s="35" t="inlineStr">
        <is>
          <t>Cơ chế tự động điền sẵn tên khóa học vào form đăng ký giúp học viên không phải nhập lại</t>
        </is>
      </c>
      <c r="F94" s="24" t="inlineStr">
        <is>
          <t>✓</t>
        </is>
      </c>
      <c r="G94" s="6" t="inlineStr">
        <is>
          <t>✓</t>
        </is>
      </c>
    </row>
    <row r="95" ht="20" customHeight="1">
      <c r="A95" s="29" t="inlineStr">
        <is>
          <t>M04</t>
        </is>
      </c>
      <c r="B95" s="30" t="inlineStr">
        <is>
          <t>Chi tiết Khóa học &amp; Giáo trình Đào tạo Thực chiến</t>
        </is>
      </c>
      <c r="C95" s="31" t="inlineStr">
        <is>
          <t>CORE</t>
        </is>
      </c>
      <c r="D95" s="22" t="inlineStr">
        <is>
          <t>Khóa học liên quan</t>
        </is>
      </c>
      <c r="E95" s="22" t="inlineStr">
        <is>
          <t>Khối Khóa học đề xuất liên quan (Related Courses) hỗ trợ học viên chọn học theo combo</t>
        </is>
      </c>
      <c r="F95" s="24" t="inlineStr">
        <is>
          <t>✓</t>
        </is>
      </c>
      <c r="G95" s="6" t="inlineStr">
        <is>
          <t>✓</t>
        </is>
      </c>
    </row>
    <row r="96" ht="20" customHeight="1">
      <c r="A96" s="32" t="inlineStr">
        <is>
          <t>M04</t>
        </is>
      </c>
      <c r="B96" s="33" t="inlineStr">
        <is>
          <t>Chi tiết Khóa học &amp; Giáo trình Đào tạo Thực chiến</t>
        </is>
      </c>
      <c r="C96" s="34" t="inlineStr">
        <is>
          <t>CORE</t>
        </is>
      </c>
      <c r="D96" s="35" t="inlineStr">
        <is>
          <t>Khóa học liên quan</t>
        </is>
      </c>
      <c r="E96" s="35" t="inlineStr">
        <is>
          <t>Gợi ý lộ trình đào tạo từ cơ bản đến nâng cao cho người khởi sự kinh doanh quán ăn</t>
        </is>
      </c>
      <c r="F96" s="24" t="inlineStr">
        <is>
          <t>✓</t>
        </is>
      </c>
      <c r="G96" s="6" t="inlineStr">
        <is>
          <t>✓</t>
        </is>
      </c>
    </row>
    <row r="97" ht="20" customHeight="1">
      <c r="A97" s="29" t="inlineStr">
        <is>
          <t>M04</t>
        </is>
      </c>
      <c r="B97" s="30" t="inlineStr">
        <is>
          <t>Chi tiết Khóa học &amp; Giáo trình Đào tạo Thực chiến</t>
        </is>
      </c>
      <c r="C97" s="31" t="inlineStr">
        <is>
          <t>CORE</t>
        </is>
      </c>
      <c r="D97" s="22" t="inlineStr">
        <is>
          <t>Chia sẻ &amp; Tương tác</t>
        </is>
      </c>
      <c r="E97" s="22" t="inlineStr">
        <is>
          <t>Nút chia sẻ thông tin khóa học nhanh lên Facebook, Zalo, sao chép liên kết</t>
        </is>
      </c>
      <c r="F97" s="24" t="inlineStr">
        <is>
          <t>✓</t>
        </is>
      </c>
      <c r="G97" s="6" t="inlineStr">
        <is>
          <t>✓</t>
        </is>
      </c>
    </row>
    <row r="98" ht="20" customHeight="1">
      <c r="A98" s="32" t="inlineStr">
        <is>
          <t>M04</t>
        </is>
      </c>
      <c r="B98" s="33" t="inlineStr">
        <is>
          <t>Chi tiết Khóa học &amp; Giáo trình Đào tạo Thực chiến</t>
        </is>
      </c>
      <c r="C98" s="34" t="inlineStr">
        <is>
          <t>CORE</t>
        </is>
      </c>
      <c r="D98" s="35" t="inlineStr">
        <is>
          <t>SEO Khóa học</t>
        </is>
      </c>
      <c r="E98" s="35" t="inlineStr">
        <is>
          <t>Cấu trúc dữ liệu có cấu trúc Course Schema theo tiêu chuẩn Schema.org của Google</t>
        </is>
      </c>
      <c r="F98" s="24" t="inlineStr">
        <is>
          <t>✓</t>
        </is>
      </c>
      <c r="G98" s="6" t="inlineStr">
        <is>
          <t>✓</t>
        </is>
      </c>
    </row>
    <row r="99" ht="20" customHeight="1">
      <c r="A99" s="29" t="inlineStr">
        <is>
          <t>M04</t>
        </is>
      </c>
      <c r="B99" s="30" t="inlineStr">
        <is>
          <t>Chi tiết Khóa học &amp; Giáo trình Đào tạo Thực chiến</t>
        </is>
      </c>
      <c r="C99" s="31" t="inlineStr">
        <is>
          <t>CORE</t>
        </is>
      </c>
      <c r="D99" s="22" t="inlineStr">
        <is>
          <t>SEO Khóa học</t>
        </is>
      </c>
      <c r="E99" s="22" t="inlineStr">
        <is>
          <t>Thẻ OpenGraph chuẩn hiển thị ảnh đại diện và học phí khi gửi link qua tin nhắn Zalo</t>
        </is>
      </c>
      <c r="F99" s="24" t="inlineStr">
        <is>
          <t>✓</t>
        </is>
      </c>
      <c r="G99" s="6" t="inlineStr">
        <is>
          <t>✓</t>
        </is>
      </c>
    </row>
    <row r="100" ht="20" customHeight="1">
      <c r="A100" s="32" t="inlineStr">
        <is>
          <t>M04</t>
        </is>
      </c>
      <c r="B100" s="33" t="inlineStr">
        <is>
          <t>Chi tiết Khóa học &amp; Giáo trình Đào tạo Thực chiến</t>
        </is>
      </c>
      <c r="C100" s="34" t="inlineStr">
        <is>
          <t>CORE</t>
        </is>
      </c>
      <c r="D100" s="35" t="inlineStr">
        <is>
          <t>Curriculum Editor</t>
        </is>
      </c>
      <c r="E100" s="35" t="inlineStr">
        <is>
          <t>Trình chỉnh sửa giáo trình Curriculum JSON chuyên dụng trong CMS quản trị</t>
        </is>
      </c>
      <c r="F100" s="24" t="inlineStr">
        <is>
          <t>✓</t>
        </is>
      </c>
      <c r="G100" s="6" t="inlineStr">
        <is>
          <t>✓</t>
        </is>
      </c>
    </row>
    <row r="101" ht="20" customHeight="1">
      <c r="A101" s="29" t="inlineStr">
        <is>
          <t>M04</t>
        </is>
      </c>
      <c r="B101" s="30" t="inlineStr">
        <is>
          <t>Chi tiết Khóa học &amp; Giáo trình Đào tạo Thực chiến</t>
        </is>
      </c>
      <c r="C101" s="31" t="inlineStr">
        <is>
          <t>CORE</t>
        </is>
      </c>
      <c r="D101" s="22" t="inlineStr">
        <is>
          <t>Curriculum Editor</t>
        </is>
      </c>
      <c r="E101" s="22" t="inlineStr">
        <is>
          <t>Thêm, xóa, thay đổi thứ tự các buổi học linh hoạt mà không sợ sai lệch định dạng dữ liệu</t>
        </is>
      </c>
      <c r="F101" s="24" t="inlineStr">
        <is>
          <t>✓</t>
        </is>
      </c>
      <c r="G101" s="6" t="inlineStr">
        <is>
          <t>✓</t>
        </is>
      </c>
    </row>
    <row r="102" ht="20" customHeight="1">
      <c r="A102" s="32" t="inlineStr">
        <is>
          <t>M05</t>
        </is>
      </c>
      <c r="B102" s="33" t="inlineStr">
        <is>
          <t>Đội ngũ Giảng viên &amp; Master Chef Ẩm thực</t>
        </is>
      </c>
      <c r="C102" s="34" t="inlineStr">
        <is>
          <t>CORE</t>
        </is>
      </c>
      <c r="D102" s="35" t="inlineStr">
        <is>
          <t>Hồ sơ chuyên gia</t>
        </is>
      </c>
      <c r="E102" s="35" t="inlineStr">
        <is>
          <t>Trang danh sách Đội ngũ Giảng viên &amp; Nghệ nhân ẩm thực hàng đầu DuaxCar</t>
        </is>
      </c>
      <c r="F102" s="24" t="inlineStr">
        <is>
          <t>✓</t>
        </is>
      </c>
      <c r="G102" s="6" t="inlineStr">
        <is>
          <t>✓</t>
        </is>
      </c>
    </row>
    <row r="103" ht="20" customHeight="1">
      <c r="A103" s="29" t="inlineStr">
        <is>
          <t>M05</t>
        </is>
      </c>
      <c r="B103" s="30" t="inlineStr">
        <is>
          <t>Đội ngũ Giảng viên &amp; Master Chef Ẩm thực</t>
        </is>
      </c>
      <c r="C103" s="31" t="inlineStr">
        <is>
          <t>CORE</t>
        </is>
      </c>
      <c r="D103" s="22" t="inlineStr">
        <is>
          <t>Hồ sơ chuyên gia</t>
        </is>
      </c>
      <c r="E103" s="22" t="inlineStr">
        <is>
          <t>Trang chi tiết từng Giảng viên: Thầy Phạm Văn Long, Thầy Nguyễn Hữu Thọ, Thầy Lưu Đức Toàn</t>
        </is>
      </c>
      <c r="F103" s="24" t="inlineStr">
        <is>
          <t>✓</t>
        </is>
      </c>
      <c r="G103" s="6" t="inlineStr">
        <is>
          <t>✓</t>
        </is>
      </c>
    </row>
    <row r="104" ht="20" customHeight="1">
      <c r="A104" s="32" t="inlineStr">
        <is>
          <t>M05</t>
        </is>
      </c>
      <c r="B104" s="33" t="inlineStr">
        <is>
          <t>Đội ngũ Giảng viên &amp; Master Chef Ẩm thực</t>
        </is>
      </c>
      <c r="C104" s="34" t="inlineStr">
        <is>
          <t>CORE</t>
        </is>
      </c>
      <c r="D104" s="35" t="inlineStr">
        <is>
          <t>Hồ sơ chuyên gia</t>
        </is>
      </c>
      <c r="E104" s="35" t="inlineStr">
        <is>
          <t>Hiển thị danh hiệu cao quý: Nghệ nhân ẩm thực 'Bàn tay vàng', Bếp trưởng 25+ năm kinh nghiệm</t>
        </is>
      </c>
      <c r="F104" s="24" t="inlineStr">
        <is>
          <t>✓</t>
        </is>
      </c>
      <c r="G104" s="6" t="inlineStr">
        <is>
          <t>✓</t>
        </is>
      </c>
    </row>
    <row r="105" ht="20" customHeight="1">
      <c r="A105" s="29" t="inlineStr">
        <is>
          <t>M05</t>
        </is>
      </c>
      <c r="B105" s="30" t="inlineStr">
        <is>
          <t>Đội ngũ Giảng viên &amp; Master Chef Ẩm thực</t>
        </is>
      </c>
      <c r="C105" s="31" t="inlineStr">
        <is>
          <t>CORE</t>
        </is>
      </c>
      <c r="D105" s="22" t="inlineStr">
        <is>
          <t>Hồ sơ chuyên gia</t>
        </is>
      </c>
      <c r="E105" s="22" t="inlineStr">
        <is>
          <t>Ảnh chân dung chuyên nghiệp chất lượng cao của Master Chef</t>
        </is>
      </c>
      <c r="F105" s="24" t="inlineStr">
        <is>
          <t>✓</t>
        </is>
      </c>
      <c r="G105" s="6" t="inlineStr">
        <is>
          <t>✓</t>
        </is>
      </c>
    </row>
    <row r="106" ht="20" customHeight="1">
      <c r="A106" s="32" t="inlineStr">
        <is>
          <t>M05</t>
        </is>
      </c>
      <c r="B106" s="33" t="inlineStr">
        <is>
          <t>Đội ngũ Giảng viên &amp; Master Chef Ẩm thực</t>
        </is>
      </c>
      <c r="C106" s="34" t="inlineStr">
        <is>
          <t>CORE</t>
        </is>
      </c>
      <c r="D106" s="35" t="inlineStr">
        <is>
          <t>Hồ sơ chuyên gia</t>
        </is>
      </c>
      <c r="E106" s="35" t="inlineStr">
        <is>
          <t>Tiểu sử tóm tắt (Short Bio) và Tiểu sử chi tiết (Full Bio) về sự nghiệp ẩm thực</t>
        </is>
      </c>
      <c r="F106" s="24" t="inlineStr">
        <is>
          <t>✓</t>
        </is>
      </c>
      <c r="G106" s="6" t="inlineStr">
        <is>
          <t>✓</t>
        </is>
      </c>
    </row>
    <row r="107" ht="20" customHeight="1">
      <c r="A107" s="29" t="inlineStr">
        <is>
          <t>M05</t>
        </is>
      </c>
      <c r="B107" s="30" t="inlineStr">
        <is>
          <t>Đội ngũ Giảng viên &amp; Master Chef Ẩm thực</t>
        </is>
      </c>
      <c r="C107" s="31" t="inlineStr">
        <is>
          <t>CORE</t>
        </is>
      </c>
      <c r="D107" s="22" t="inlineStr">
        <is>
          <t>Hồ sơ chuyên gia</t>
        </is>
      </c>
      <c r="E107" s="22" t="inlineStr">
        <is>
          <t>Danh sách bằng cấp, chứng chỉ nghề bếp quốc gia và giải thưởng ẩm thực uy tín</t>
        </is>
      </c>
      <c r="F107" s="24" t="inlineStr">
        <is>
          <t>✓</t>
        </is>
      </c>
      <c r="G107" s="6" t="inlineStr">
        <is>
          <t>✓</t>
        </is>
      </c>
    </row>
    <row r="108" ht="20" customHeight="1">
      <c r="A108" s="32" t="inlineStr">
        <is>
          <t>M05</t>
        </is>
      </c>
      <c r="B108" s="33" t="inlineStr">
        <is>
          <t>Đội ngũ Giảng viên &amp; Master Chef Ẩm thực</t>
        </is>
      </c>
      <c r="C108" s="34" t="inlineStr">
        <is>
          <t>CORE</t>
        </is>
      </c>
      <c r="D108" s="35" t="inlineStr">
        <is>
          <t>Hồ sơ chuyên gia</t>
        </is>
      </c>
      <c r="E108" s="35" t="inlineStr">
        <is>
          <t>Triết lý giảng dạy &amp; Câu trích dẫn tâm đắc (Quote) của giảng viên truyền cảm hứng</t>
        </is>
      </c>
      <c r="F108" s="24" t="inlineStr">
        <is>
          <t>✓</t>
        </is>
      </c>
      <c r="G108" s="6" t="inlineStr">
        <is>
          <t>✓</t>
        </is>
      </c>
    </row>
    <row r="109" ht="20" customHeight="1">
      <c r="A109" s="29" t="inlineStr">
        <is>
          <t>M05</t>
        </is>
      </c>
      <c r="B109" s="30" t="inlineStr">
        <is>
          <t>Đội ngũ Giảng viên &amp; Master Chef Ẩm thực</t>
        </is>
      </c>
      <c r="C109" s="31" t="inlineStr">
        <is>
          <t>CORE</t>
        </is>
      </c>
      <c r="D109" s="22" t="inlineStr">
        <is>
          <t>Hồ sơ chuyên gia</t>
        </is>
      </c>
      <c r="E109" s="22" t="inlineStr">
        <is>
          <t>Danh sách các khóa học do giảng viên trực tiếp đứng lớp và truyền nghề</t>
        </is>
      </c>
      <c r="F109" s="24" t="inlineStr">
        <is>
          <t>✓</t>
        </is>
      </c>
      <c r="G109" s="6" t="inlineStr">
        <is>
          <t>✓</t>
        </is>
      </c>
    </row>
    <row r="110" ht="20" customHeight="1">
      <c r="A110" s="32" t="inlineStr">
        <is>
          <t>M05</t>
        </is>
      </c>
      <c r="B110" s="33" t="inlineStr">
        <is>
          <t>Đội ngũ Giảng viên &amp; Master Chef Ẩm thực</t>
        </is>
      </c>
      <c r="C110" s="34" t="inlineStr">
        <is>
          <t>CORE</t>
        </is>
      </c>
      <c r="D110" s="35" t="inlineStr">
        <is>
          <t>CMS Giảng viên</t>
        </is>
      </c>
      <c r="E110" s="35" t="inlineStr">
        <is>
          <t>Hệ thống quản lý Giảng viên trong CMS back-office (/admin/giang-vien)</t>
        </is>
      </c>
      <c r="F110" s="24" t="inlineStr">
        <is>
          <t>✓</t>
        </is>
      </c>
      <c r="G110" s="6" t="inlineStr">
        <is>
          <t>✓</t>
        </is>
      </c>
    </row>
    <row r="111" ht="20" customHeight="1">
      <c r="A111" s="29" t="inlineStr">
        <is>
          <t>M05</t>
        </is>
      </c>
      <c r="B111" s="30" t="inlineStr">
        <is>
          <t>Đội ngũ Giảng viên &amp; Master Chef Ẩm thực</t>
        </is>
      </c>
      <c r="C111" s="31" t="inlineStr">
        <is>
          <t>CORE</t>
        </is>
      </c>
      <c r="D111" s="22" t="inlineStr">
        <is>
          <t>CMS Giảng viên</t>
        </is>
      </c>
      <c r="E111" s="22" t="inlineStr">
        <is>
          <t>Tạo mới, chỉnh sửa thông tin cá nhân, danh hiệu, chức vụ và số năm kinh nghiệm</t>
        </is>
      </c>
      <c r="F111" s="24" t="inlineStr">
        <is>
          <t>✓</t>
        </is>
      </c>
      <c r="G111" s="6" t="inlineStr">
        <is>
          <t>✓</t>
        </is>
      </c>
    </row>
    <row r="112" ht="20" customHeight="1">
      <c r="A112" s="32" t="inlineStr">
        <is>
          <t>M05</t>
        </is>
      </c>
      <c r="B112" s="33" t="inlineStr">
        <is>
          <t>Đội ngũ Giảng viên &amp; Master Chef Ẩm thực</t>
        </is>
      </c>
      <c r="C112" s="34" t="inlineStr">
        <is>
          <t>CORE</t>
        </is>
      </c>
      <c r="D112" s="35" t="inlineStr">
        <is>
          <t>CMS Giảng viên</t>
        </is>
      </c>
      <c r="E112" s="35" t="inlineStr">
        <is>
          <t>Quản lý danh sách thành tựu (Achievements JSON) dạng danh sách động</t>
        </is>
      </c>
      <c r="F112" s="24" t="inlineStr">
        <is>
          <t>✓</t>
        </is>
      </c>
      <c r="G112" s="6" t="inlineStr">
        <is>
          <t>✓</t>
        </is>
      </c>
    </row>
    <row r="113" ht="20" customHeight="1">
      <c r="A113" s="29" t="inlineStr">
        <is>
          <t>M05</t>
        </is>
      </c>
      <c r="B113" s="30" t="inlineStr">
        <is>
          <t>Đội ngũ Giảng viên &amp; Master Chef Ẩm thực</t>
        </is>
      </c>
      <c r="C113" s="31" t="inlineStr">
        <is>
          <t>CORE</t>
        </is>
      </c>
      <c r="D113" s="22" t="inlineStr">
        <is>
          <t>CMS Giảng viên</t>
        </is>
      </c>
      <c r="E113" s="22" t="inlineStr">
        <is>
          <t>Gán các khóa học phụ trách từ danh mục khóa học của hệ thống</t>
        </is>
      </c>
      <c r="F113" s="24" t="inlineStr">
        <is>
          <t>✓</t>
        </is>
      </c>
      <c r="G113" s="6" t="inlineStr">
        <is>
          <t>✓</t>
        </is>
      </c>
    </row>
    <row r="114" ht="20" customHeight="1">
      <c r="A114" s="32" t="inlineStr">
        <is>
          <t>M05</t>
        </is>
      </c>
      <c r="B114" s="33" t="inlineStr">
        <is>
          <t>Đội ngũ Giảng viên &amp; Master Chef Ẩm thực</t>
        </is>
      </c>
      <c r="C114" s="34" t="inlineStr">
        <is>
          <t>CORE</t>
        </is>
      </c>
      <c r="D114" s="35" t="inlineStr">
        <is>
          <t>CMS Giảng viên</t>
        </is>
      </c>
      <c r="E114" s="35" t="inlineStr">
        <is>
          <t>Tích hợp Media Selector để tải lên và chọn ảnh đại diện của giảng viên</t>
        </is>
      </c>
      <c r="F114" s="24" t="inlineStr">
        <is>
          <t>✓</t>
        </is>
      </c>
      <c r="G114" s="6" t="inlineStr">
        <is>
          <t>✓</t>
        </is>
      </c>
    </row>
    <row r="115" ht="20" customHeight="1">
      <c r="A115" s="29" t="inlineStr">
        <is>
          <t>M05</t>
        </is>
      </c>
      <c r="B115" s="30" t="inlineStr">
        <is>
          <t>Đội ngũ Giảng viên &amp; Master Chef Ẩm thực</t>
        </is>
      </c>
      <c r="C115" s="31" t="inlineStr">
        <is>
          <t>CORE</t>
        </is>
      </c>
      <c r="D115" s="22" t="inlineStr">
        <is>
          <t>SEO Giảng viên</t>
        </is>
      </c>
      <c r="E115" s="22" t="inlineStr">
        <is>
          <t>Tối ưu hóa SEO trang hồ sơ giảng viên (Person Schema chuẩn Google)</t>
        </is>
      </c>
      <c r="F115" s="24" t="inlineStr">
        <is>
          <t>✓</t>
        </is>
      </c>
      <c r="G115" s="6" t="inlineStr">
        <is>
          <t>✓</t>
        </is>
      </c>
    </row>
    <row r="116" ht="20" customHeight="1">
      <c r="A116" s="32" t="inlineStr">
        <is>
          <t>M05</t>
        </is>
      </c>
      <c r="B116" s="33" t="inlineStr">
        <is>
          <t>Đội ngũ Giảng viên &amp; Master Chef Ẩm thực</t>
        </is>
      </c>
      <c r="C116" s="34" t="inlineStr">
        <is>
          <t>CORE</t>
        </is>
      </c>
      <c r="D116" s="35" t="inlineStr">
        <is>
          <t>SEO Giảng viên</t>
        </is>
      </c>
      <c r="E116" s="35" t="inlineStr">
        <is>
          <t>Tăng cường chỉ số E-E-A-T (Chuyên môn, Thẩm quyền, Độ tin cậy) cho toàn bộ website</t>
        </is>
      </c>
      <c r="F116" s="24" t="inlineStr">
        <is>
          <t>✓</t>
        </is>
      </c>
      <c r="G116" s="6" t="inlineStr">
        <is>
          <t>✓</t>
        </is>
      </c>
    </row>
    <row r="117" ht="20" customHeight="1">
      <c r="A117" s="29" t="inlineStr">
        <is>
          <t>M05</t>
        </is>
      </c>
      <c r="B117" s="30" t="inlineStr">
        <is>
          <t>Đội ngũ Giảng viên &amp; Master Chef Ẩm thực</t>
        </is>
      </c>
      <c r="C117" s="31" t="inlineStr">
        <is>
          <t>CORE</t>
        </is>
      </c>
      <c r="D117" s="22" t="inlineStr">
        <is>
          <t>SEO Giảng viên</t>
        </is>
      </c>
      <c r="E117" s="22" t="inlineStr">
        <is>
          <t>Cơ chế bảo vệ thông tin cá nhân và bản quyền hình ảnh giảng viên</t>
        </is>
      </c>
      <c r="F117" s="24" t="inlineStr">
        <is>
          <t>✓</t>
        </is>
      </c>
      <c r="G117" s="6" t="inlineStr">
        <is>
          <t>✓</t>
        </is>
      </c>
    </row>
    <row r="118" ht="20" customHeight="1">
      <c r="A118" s="32" t="inlineStr">
        <is>
          <t>M06</t>
        </is>
      </c>
      <c r="B118" s="33" t="inlineStr">
        <is>
          <t>Lịch Khai giảng &amp; Quản lý Lớp học Tuyển sinh</t>
        </is>
      </c>
      <c r="C118" s="34" t="inlineStr">
        <is>
          <t>CORE</t>
        </is>
      </c>
      <c r="D118" s="35" t="inlineStr">
        <is>
          <t>Lịch khai giảng</t>
        </is>
      </c>
      <c r="E118" s="35" t="inlineStr">
        <is>
          <t>Trang Lịch khai giảng công khai theo tháng trên website (/lich-khai-giang)</t>
        </is>
      </c>
      <c r="F118" s="24" t="inlineStr">
        <is>
          <t>✓</t>
        </is>
      </c>
      <c r="G118" s="6" t="inlineStr">
        <is>
          <t>✓</t>
        </is>
      </c>
    </row>
    <row r="119" ht="20" customHeight="1">
      <c r="A119" s="29" t="inlineStr">
        <is>
          <t>M06</t>
        </is>
      </c>
      <c r="B119" s="30" t="inlineStr">
        <is>
          <t>Lịch Khai giảng &amp; Quản lý Lớp học Tuyển sinh</t>
        </is>
      </c>
      <c r="C119" s="31" t="inlineStr">
        <is>
          <t>CORE</t>
        </is>
      </c>
      <c r="D119" s="22" t="inlineStr">
        <is>
          <t>Lịch khai giảng</t>
        </is>
      </c>
      <c r="E119" s="22" t="inlineStr">
        <is>
          <t>Hiển thị danh sách các lớp học sắp mở trong tháng theo dòng thời gian trực quan</t>
        </is>
      </c>
      <c r="F119" s="24" t="inlineStr">
        <is>
          <t>✓</t>
        </is>
      </c>
      <c r="G119" s="6" t="inlineStr">
        <is>
          <t>✓</t>
        </is>
      </c>
    </row>
    <row r="120" ht="20" customHeight="1">
      <c r="A120" s="32" t="inlineStr">
        <is>
          <t>M06</t>
        </is>
      </c>
      <c r="B120" s="33" t="inlineStr">
        <is>
          <t>Lịch Khai giảng &amp; Quản lý Lớp học Tuyển sinh</t>
        </is>
      </c>
      <c r="C120" s="34" t="inlineStr">
        <is>
          <t>CORE</t>
        </is>
      </c>
      <c r="D120" s="35" t="inlineStr">
        <is>
          <t>Lịch khai giảng</t>
        </is>
      </c>
      <c r="E120" s="35" t="inlineStr">
        <is>
          <t>Thông tin từng lớp: Tên khóa học, Ngày khai giảng chính xác, Địa điểm xưởng bếp</t>
        </is>
      </c>
      <c r="F120" s="24" t="inlineStr">
        <is>
          <t>✓</t>
        </is>
      </c>
      <c r="G120" s="6" t="inlineStr">
        <is>
          <t>✓</t>
        </is>
      </c>
    </row>
    <row r="121" ht="20" customHeight="1">
      <c r="A121" s="29" t="inlineStr">
        <is>
          <t>M06</t>
        </is>
      </c>
      <c r="B121" s="30" t="inlineStr">
        <is>
          <t>Lịch Khai giảng &amp; Quản lý Lớp học Tuyển sinh</t>
        </is>
      </c>
      <c r="C121" s="31" t="inlineStr">
        <is>
          <t>CORE</t>
        </is>
      </c>
      <c r="D121" s="22" t="inlineStr">
        <is>
          <t>Lịch khai giảng</t>
        </is>
      </c>
      <c r="E121" s="22" t="inlineStr">
        <is>
          <t>Phân loại lịch học trong tuần: Thứ 2-4-6, Thứ 3-5-7 hoặc Lớp cấp tốc Thứ 7 &amp; Chủ nhật</t>
        </is>
      </c>
      <c r="F121" s="24" t="inlineStr">
        <is>
          <t>✓</t>
        </is>
      </c>
      <c r="G121" s="6" t="inlineStr">
        <is>
          <t>✓</t>
        </is>
      </c>
    </row>
    <row r="122" ht="20" customHeight="1">
      <c r="A122" s="32" t="inlineStr">
        <is>
          <t>M06</t>
        </is>
      </c>
      <c r="B122" s="33" t="inlineStr">
        <is>
          <t>Lịch Khai giảng &amp; Quản lý Lớp học Tuyển sinh</t>
        </is>
      </c>
      <c r="C122" s="34" t="inlineStr">
        <is>
          <t>CORE</t>
        </is>
      </c>
      <c r="D122" s="35" t="inlineStr">
        <is>
          <t>Lịch khai giảng</t>
        </is>
      </c>
      <c r="E122" s="35" t="inlineStr">
        <is>
          <t>Khung giờ ca học chi tiết: Ca sáng (8h30-11h30), Ca chiều (14h-17h), Ca tối (18h-21h)</t>
        </is>
      </c>
      <c r="F122" s="24" t="inlineStr">
        <is>
          <t>✓</t>
        </is>
      </c>
      <c r="G122" s="6" t="inlineStr">
        <is>
          <t>✓</t>
        </is>
      </c>
    </row>
    <row r="123" ht="20" customHeight="1">
      <c r="A123" s="29" t="inlineStr">
        <is>
          <t>M06</t>
        </is>
      </c>
      <c r="B123" s="30" t="inlineStr">
        <is>
          <t>Lịch Khai giảng &amp; Quản lý Lớp học Tuyển sinh</t>
        </is>
      </c>
      <c r="C123" s="31" t="inlineStr">
        <is>
          <t>CORE</t>
        </is>
      </c>
      <c r="D123" s="22" t="inlineStr">
        <is>
          <t>Lịch khai giảng</t>
        </is>
      </c>
      <c r="E123" s="22" t="inlineStr">
        <is>
          <t>Trạng thái tuyển sinh trực quan: Đang mở nhận học viên / Sắp đủ chỗ (còn 1-2 chỗ) / Đã đóng</t>
        </is>
      </c>
      <c r="F123" s="24" t="inlineStr">
        <is>
          <t>✓</t>
        </is>
      </c>
      <c r="G123" s="6" t="inlineStr">
        <is>
          <t>✓</t>
        </is>
      </c>
    </row>
    <row r="124" ht="20" customHeight="1">
      <c r="A124" s="32" t="inlineStr">
        <is>
          <t>M06</t>
        </is>
      </c>
      <c r="B124" s="33" t="inlineStr">
        <is>
          <t>Lịch Khai giảng &amp; Quản lý Lớp học Tuyển sinh</t>
        </is>
      </c>
      <c r="C124" s="34" t="inlineStr">
        <is>
          <t>CORE</t>
        </is>
      </c>
      <c r="D124" s="35" t="inlineStr">
        <is>
          <t>Lịch khai giảng</t>
        </is>
      </c>
      <c r="E124" s="35" t="inlineStr">
        <is>
          <t>Nút 'Đăng ký giữ chỗ ngay' gắn trực tiếp với lịch học và ca học được chọn</t>
        </is>
      </c>
      <c r="F124" s="24" t="inlineStr">
        <is>
          <t>✓</t>
        </is>
      </c>
      <c r="G124" s="6" t="inlineStr">
        <is>
          <t>✓</t>
        </is>
      </c>
    </row>
    <row r="125" ht="20" customHeight="1">
      <c r="A125" s="29" t="inlineStr">
        <is>
          <t>M06</t>
        </is>
      </c>
      <c r="B125" s="30" t="inlineStr">
        <is>
          <t>Lịch Khai giảng &amp; Quản lý Lớp học Tuyển sinh</t>
        </is>
      </c>
      <c r="C125" s="31" t="inlineStr">
        <is>
          <t>CORE</t>
        </is>
      </c>
      <c r="D125" s="22" t="inlineStr">
        <is>
          <t>Lịch khai giảng</t>
        </is>
      </c>
      <c r="E125" s="22" t="inlineStr">
        <is>
          <t>Bộ lọc lịch khai giảng theo Chuyên mục món ăn hoặc theo Cơ sở đào tạo</t>
        </is>
      </c>
      <c r="F125" s="24" t="inlineStr">
        <is>
          <t>✓</t>
        </is>
      </c>
      <c r="G125" s="6" t="inlineStr">
        <is>
          <t>✓</t>
        </is>
      </c>
    </row>
    <row r="126" ht="20" customHeight="1">
      <c r="A126" s="32" t="inlineStr">
        <is>
          <t>M06</t>
        </is>
      </c>
      <c r="B126" s="33" t="inlineStr">
        <is>
          <t>Lịch Khai giảng &amp; Quản lý Lớp học Tuyển sinh</t>
        </is>
      </c>
      <c r="C126" s="34" t="inlineStr">
        <is>
          <t>CORE</t>
        </is>
      </c>
      <c r="D126" s="35" t="inlineStr">
        <is>
          <t>Quản trị lịch học</t>
        </is>
      </c>
      <c r="E126" s="35" t="inlineStr">
        <is>
          <t>Quản lý danh sách lớp học khai giảng trong CMS quản trị</t>
        </is>
      </c>
      <c r="F126" s="24" t="inlineStr">
        <is>
          <t>✓</t>
        </is>
      </c>
      <c r="G126" s="6" t="inlineStr">
        <is>
          <t>✓</t>
        </is>
      </c>
    </row>
    <row r="127" ht="20" customHeight="1">
      <c r="A127" s="29" t="inlineStr">
        <is>
          <t>M06</t>
        </is>
      </c>
      <c r="B127" s="30" t="inlineStr">
        <is>
          <t>Lịch Khai giảng &amp; Quản lý Lớp học Tuyển sinh</t>
        </is>
      </c>
      <c r="C127" s="31" t="inlineStr">
        <is>
          <t>CORE</t>
        </is>
      </c>
      <c r="D127" s="22" t="inlineStr">
        <is>
          <t>Quản trị lịch học</t>
        </is>
      </c>
      <c r="E127" s="22" t="inlineStr">
        <is>
          <t>Thiết lập ngày khai giảng, ca học, phòng bếp thực hành và giảng viên đứng lớp</t>
        </is>
      </c>
      <c r="F127" s="24" t="inlineStr">
        <is>
          <t>✓</t>
        </is>
      </c>
      <c r="G127" s="6" t="inlineStr">
        <is>
          <t>✓</t>
        </is>
      </c>
    </row>
    <row r="128" ht="20" customHeight="1">
      <c r="A128" s="32" t="inlineStr">
        <is>
          <t>M06</t>
        </is>
      </c>
      <c r="B128" s="33" t="inlineStr">
        <is>
          <t>Lịch Khai giảng &amp; Quản lý Lớp học Tuyển sinh</t>
        </is>
      </c>
      <c r="C128" s="34" t="inlineStr">
        <is>
          <t>CORE</t>
        </is>
      </c>
      <c r="D128" s="35" t="inlineStr">
        <is>
          <t>Quản trị lịch học</t>
        </is>
      </c>
      <c r="E128" s="35" t="inlineStr">
        <is>
          <t>Cấu hình sĩ số học viên tối đa cho từng lớp để kiểm soát chất lượng đào tạo</t>
        </is>
      </c>
      <c r="F128" s="24" t="inlineStr">
        <is>
          <t>✓</t>
        </is>
      </c>
      <c r="G128" s="6" t="inlineStr">
        <is>
          <t>✓</t>
        </is>
      </c>
    </row>
    <row r="129" ht="20" customHeight="1">
      <c r="A129" s="29" t="inlineStr">
        <is>
          <t>M06</t>
        </is>
      </c>
      <c r="B129" s="30" t="inlineStr">
        <is>
          <t>Lịch Khai giảng &amp; Quản lý Lớp học Tuyển sinh</t>
        </is>
      </c>
      <c r="C129" s="31" t="inlineStr">
        <is>
          <t>CORE</t>
        </is>
      </c>
      <c r="D129" s="22" t="inlineStr">
        <is>
          <t>Quản trị lịch học</t>
        </is>
      </c>
      <c r="E129" s="22" t="inlineStr">
        <is>
          <t>Tự động hoặc thủ công cập nhật trạng thái lớp khi số học viên đăng ký đạt giới hạn</t>
        </is>
      </c>
      <c r="F129" s="24" t="inlineStr">
        <is>
          <t>✓</t>
        </is>
      </c>
      <c r="G129" s="6" t="inlineStr">
        <is>
          <t>✓</t>
        </is>
      </c>
    </row>
    <row r="130" ht="20" customHeight="1">
      <c r="A130" s="32" t="inlineStr">
        <is>
          <t>M06</t>
        </is>
      </c>
      <c r="B130" s="33" t="inlineStr">
        <is>
          <t>Lịch Khai giảng &amp; Quản lý Lớp học Tuyển sinh</t>
        </is>
      </c>
      <c r="C130" s="34" t="inlineStr">
        <is>
          <t>CORE</t>
        </is>
      </c>
      <c r="D130" s="35" t="inlineStr">
        <is>
          <t>Quản trị lịch học</t>
        </is>
      </c>
      <c r="E130" s="35" t="inlineStr">
        <is>
          <t>Thông báo cảnh báo khi lớp học chuẩn bị đến ngày khai giảng</t>
        </is>
      </c>
      <c r="F130" s="24" t="inlineStr">
        <is>
          <t>✓</t>
        </is>
      </c>
      <c r="G130" s="6" t="inlineStr">
        <is>
          <t>✓</t>
        </is>
      </c>
    </row>
    <row r="131" ht="20" customHeight="1">
      <c r="A131" s="29" t="inlineStr">
        <is>
          <t>M06</t>
        </is>
      </c>
      <c r="B131" s="30" t="inlineStr">
        <is>
          <t>Lịch Khai giảng &amp; Quản lý Lớp học Tuyển sinh</t>
        </is>
      </c>
      <c r="C131" s="31" t="inlineStr">
        <is>
          <t>CORE</t>
        </is>
      </c>
      <c r="D131" s="22" t="inlineStr">
        <is>
          <t>Quản trị lịch học</t>
        </is>
      </c>
      <c r="E131" s="22" t="inlineStr">
        <is>
          <t>Lưu trữ lịch sử các lớp đã hoàn thành phục vụ công tác tra cứu đào tạo</t>
        </is>
      </c>
      <c r="F131" s="24" t="inlineStr">
        <is>
          <t>✓</t>
        </is>
      </c>
      <c r="G131" s="6" t="inlineStr">
        <is>
          <t>✓</t>
        </is>
      </c>
    </row>
    <row r="132" ht="20" customHeight="1">
      <c r="A132" s="32" t="inlineStr">
        <is>
          <t>M06</t>
        </is>
      </c>
      <c r="B132" s="33" t="inlineStr">
        <is>
          <t>Lịch Khai giảng &amp; Quản lý Lớp học Tuyển sinh</t>
        </is>
      </c>
      <c r="C132" s="34" t="inlineStr">
        <is>
          <t>CORE</t>
        </is>
      </c>
      <c r="D132" s="35" t="inlineStr">
        <is>
          <t>UX/Hiệu ứng</t>
        </is>
      </c>
      <c r="E132" s="35" t="inlineStr">
        <is>
          <t>Giao diện thẻ lịch khai giảng nổi bật, dễ nhìn trên thiết bị di động</t>
        </is>
      </c>
      <c r="F132" s="24" t="inlineStr">
        <is>
          <t>✓</t>
        </is>
      </c>
      <c r="G132" s="6" t="inlineStr">
        <is>
          <t>✓</t>
        </is>
      </c>
    </row>
    <row r="133" ht="20" customHeight="1">
      <c r="A133" s="29" t="inlineStr">
        <is>
          <t>M06</t>
        </is>
      </c>
      <c r="B133" s="30" t="inlineStr">
        <is>
          <t>Lịch Khai giảng &amp; Quản lý Lớp học Tuyển sinh</t>
        </is>
      </c>
      <c r="C133" s="31" t="inlineStr">
        <is>
          <t>CORE</t>
        </is>
      </c>
      <c r="D133" s="22" t="inlineStr">
        <is>
          <t>UX/Hiệu ứng</t>
        </is>
      </c>
      <c r="E133" s="22" t="inlineStr">
        <is>
          <t>Cơ chế nhắc nhở học viên đăng ký sớm để nhận ưu đãi học phí</t>
        </is>
      </c>
      <c r="F133" s="24" t="inlineStr">
        <is>
          <t>✓</t>
        </is>
      </c>
      <c r="G133" s="6" t="inlineStr">
        <is>
          <t>✓</t>
        </is>
      </c>
    </row>
    <row r="134" ht="20" customHeight="1">
      <c r="A134" s="32" t="inlineStr">
        <is>
          <t>M07</t>
        </is>
      </c>
      <c r="B134" s="33" t="inlineStr">
        <is>
          <t>Thu thập Lead &amp; Quy trình Tiếp nhận Đăng ký</t>
        </is>
      </c>
      <c r="C134" s="34" t="inlineStr">
        <is>
          <t>CORE</t>
        </is>
      </c>
      <c r="D134" s="35" t="inlineStr">
        <is>
          <t>Form đăng ký</t>
        </is>
      </c>
      <c r="E134" s="35" t="inlineStr">
        <is>
          <t>Form Đăng ký tư vấn khóa học nhanh tại Trang chủ và chân trang các bài viết</t>
        </is>
      </c>
      <c r="F134" s="24" t="inlineStr">
        <is>
          <t>✓</t>
        </is>
      </c>
      <c r="G134" s="6" t="inlineStr">
        <is>
          <t>✓</t>
        </is>
      </c>
    </row>
    <row r="135" ht="20" customHeight="1">
      <c r="A135" s="29" t="inlineStr">
        <is>
          <t>M07</t>
        </is>
      </c>
      <c r="B135" s="30" t="inlineStr">
        <is>
          <t>Thu thập Lead &amp; Quy trình Tiếp nhận Đăng ký</t>
        </is>
      </c>
      <c r="C135" s="31" t="inlineStr">
        <is>
          <t>CORE</t>
        </is>
      </c>
      <c r="D135" s="22" t="inlineStr">
        <is>
          <t>Form đăng ký</t>
        </is>
      </c>
      <c r="E135" s="22" t="inlineStr">
        <is>
          <t>Modal Đăng ký tư vấn chuyên nghiệp mở từ mọi nút CTA trên toàn hệ thống</t>
        </is>
      </c>
      <c r="F135" s="24" t="inlineStr">
        <is>
          <t>✓</t>
        </is>
      </c>
      <c r="G135" s="6" t="inlineStr">
        <is>
          <t>✓</t>
        </is>
      </c>
    </row>
    <row r="136" ht="20" customHeight="1">
      <c r="A136" s="32" t="inlineStr">
        <is>
          <t>M07</t>
        </is>
      </c>
      <c r="B136" s="33" t="inlineStr">
        <is>
          <t>Thu thập Lead &amp; Quy trình Tiếp nhận Đăng ký</t>
        </is>
      </c>
      <c r="C136" s="34" t="inlineStr">
        <is>
          <t>CORE</t>
        </is>
      </c>
      <c r="D136" s="35" t="inlineStr">
        <is>
          <t>Form đăng ký</t>
        </is>
      </c>
      <c r="E136" s="35" t="inlineStr">
        <is>
          <t>Form Liên hệ &amp; Đặt lịch tư vấn tại trang Liên hệ (/lien-he)</t>
        </is>
      </c>
      <c r="F136" s="24" t="inlineStr">
        <is>
          <t>✓</t>
        </is>
      </c>
      <c r="G136" s="6" t="inlineStr">
        <is>
          <t>✓</t>
        </is>
      </c>
    </row>
    <row r="137" ht="20" customHeight="1">
      <c r="A137" s="29" t="inlineStr">
        <is>
          <t>M07</t>
        </is>
      </c>
      <c r="B137" s="30" t="inlineStr">
        <is>
          <t>Thu thập Lead &amp; Quy trình Tiếp nhận Đăng ký</t>
        </is>
      </c>
      <c r="C137" s="31" t="inlineStr">
        <is>
          <t>CORE</t>
        </is>
      </c>
      <c r="D137" s="22" t="inlineStr">
        <is>
          <t>Trường thông tin</t>
        </is>
      </c>
      <c r="E137" s="22" t="inlineStr">
        <is>
          <t>Thu thập Họ và tên học viên</t>
        </is>
      </c>
      <c r="F137" s="24" t="inlineStr">
        <is>
          <t>✓</t>
        </is>
      </c>
      <c r="G137" s="6" t="inlineStr">
        <is>
          <t>✓</t>
        </is>
      </c>
    </row>
    <row r="138" ht="20" customHeight="1">
      <c r="A138" s="32" t="inlineStr">
        <is>
          <t>M07</t>
        </is>
      </c>
      <c r="B138" s="33" t="inlineStr">
        <is>
          <t>Thu thập Lead &amp; Quy trình Tiếp nhận Đăng ký</t>
        </is>
      </c>
      <c r="C138" s="34" t="inlineStr">
        <is>
          <t>CORE</t>
        </is>
      </c>
      <c r="D138" s="35" t="inlineStr">
        <is>
          <t>Trường thông tin</t>
        </is>
      </c>
      <c r="E138" s="35" t="inlineStr">
        <is>
          <t>Thu thập Số điện thoại (tự động kiểm tra cú pháp 10 số, đầu số hợp lệ của nhà mạng VN)</t>
        </is>
      </c>
      <c r="F138" s="24" t="inlineStr">
        <is>
          <t>✓</t>
        </is>
      </c>
      <c r="G138" s="6" t="inlineStr">
        <is>
          <t>✓</t>
        </is>
      </c>
    </row>
    <row r="139" ht="20" customHeight="1">
      <c r="A139" s="29" t="inlineStr">
        <is>
          <t>M07</t>
        </is>
      </c>
      <c r="B139" s="30" t="inlineStr">
        <is>
          <t>Thu thập Lead &amp; Quy trình Tiếp nhận Đăng ký</t>
        </is>
      </c>
      <c r="C139" s="31" t="inlineStr">
        <is>
          <t>CORE</t>
        </is>
      </c>
      <c r="D139" s="22" t="inlineStr">
        <is>
          <t>Trường thông tin</t>
        </is>
      </c>
      <c r="E139" s="22" t="inlineStr">
        <is>
          <t>Thu thập Email học viên để gửi xác nhận và tài liệu</t>
        </is>
      </c>
      <c r="F139" s="24" t="inlineStr">
        <is>
          <t>✓</t>
        </is>
      </c>
      <c r="G139" s="6" t="inlineStr">
        <is>
          <t>✓</t>
        </is>
      </c>
    </row>
    <row r="140" ht="20" customHeight="1">
      <c r="A140" s="32" t="inlineStr">
        <is>
          <t>M07</t>
        </is>
      </c>
      <c r="B140" s="33" t="inlineStr">
        <is>
          <t>Thu thập Lead &amp; Quy trình Tiếp nhận Đăng ký</t>
        </is>
      </c>
      <c r="C140" s="34" t="inlineStr">
        <is>
          <t>CORE</t>
        </is>
      </c>
      <c r="D140" s="35" t="inlineStr">
        <is>
          <t>Trường thông tin</t>
        </is>
      </c>
      <c r="E140" s="35" t="inlineStr">
        <is>
          <t>Lựa chọn Khóa học quan tâm từ danh sách khóa học đang hoạt động</t>
        </is>
      </c>
      <c r="F140" s="24" t="inlineStr">
        <is>
          <t>✓</t>
        </is>
      </c>
      <c r="G140" s="6" t="inlineStr">
        <is>
          <t>✓</t>
        </is>
      </c>
    </row>
    <row r="141" ht="20" customHeight="1">
      <c r="A141" s="29" t="inlineStr">
        <is>
          <t>M07</t>
        </is>
      </c>
      <c r="B141" s="30" t="inlineStr">
        <is>
          <t>Thu thập Lead &amp; Quy trình Tiếp nhận Đăng ký</t>
        </is>
      </c>
      <c r="C141" s="31" t="inlineStr">
        <is>
          <t>CORE</t>
        </is>
      </c>
      <c r="D141" s="22" t="inlineStr">
        <is>
          <t>Trường thông tin</t>
        </is>
      </c>
      <c r="E141" s="22" t="inlineStr">
        <is>
          <t>Lựa chọn Cơ sở bếp thực hành mong muốn tham gia học</t>
        </is>
      </c>
      <c r="F141" s="24" t="inlineStr">
        <is>
          <t>✓</t>
        </is>
      </c>
      <c r="G141" s="6" t="inlineStr">
        <is>
          <t>✓</t>
        </is>
      </c>
    </row>
    <row r="142" ht="20" customHeight="1">
      <c r="A142" s="32" t="inlineStr">
        <is>
          <t>M07</t>
        </is>
      </c>
      <c r="B142" s="33" t="inlineStr">
        <is>
          <t>Thu thập Lead &amp; Quy trình Tiếp nhận Đăng ký</t>
        </is>
      </c>
      <c r="C142" s="34" t="inlineStr">
        <is>
          <t>CORE</t>
        </is>
      </c>
      <c r="D142" s="35" t="inlineStr">
        <is>
          <t>Trường thông tin</t>
        </is>
      </c>
      <c r="E142" s="35" t="inlineStr">
        <is>
          <t>Lựa chọn Nhu cầu cụ thể: Mở quán kinh doanh / Nâng cao tay nghề / Nấu ăn gia đình</t>
        </is>
      </c>
      <c r="F142" s="24" t="inlineStr">
        <is>
          <t>✓</t>
        </is>
      </c>
      <c r="G142" s="6" t="inlineStr">
        <is>
          <t>✓</t>
        </is>
      </c>
    </row>
    <row r="143" ht="20" customHeight="1">
      <c r="A143" s="29" t="inlineStr">
        <is>
          <t>M07</t>
        </is>
      </c>
      <c r="B143" s="30" t="inlineStr">
        <is>
          <t>Thu thập Lead &amp; Quy trình Tiếp nhận Đăng ký</t>
        </is>
      </c>
      <c r="C143" s="31" t="inlineStr">
        <is>
          <t>CORE</t>
        </is>
      </c>
      <c r="D143" s="22" t="inlineStr">
        <is>
          <t>Trường thông tin</t>
        </is>
      </c>
      <c r="E143" s="22" t="inlineStr">
        <is>
          <t>Ô nhập ghi chú nhu cầu cá nhân hoặc câu hỏi muốn chuyên gia giải đáp</t>
        </is>
      </c>
      <c r="F143" s="24" t="inlineStr">
        <is>
          <t>✓</t>
        </is>
      </c>
      <c r="G143" s="6" t="inlineStr">
        <is>
          <t>✓</t>
        </is>
      </c>
    </row>
    <row r="144" ht="20" customHeight="1">
      <c r="A144" s="32" t="inlineStr">
        <is>
          <t>M07</t>
        </is>
      </c>
      <c r="B144" s="33" t="inlineStr">
        <is>
          <t>Thu thập Lead &amp; Quy trình Tiếp nhận Đăng ký</t>
        </is>
      </c>
      <c r="C144" s="34" t="inlineStr">
        <is>
          <t>CORE</t>
        </is>
      </c>
      <c r="D144" s="35" t="inlineStr">
        <is>
          <t>Xử lý dữ liệu</t>
        </is>
      </c>
      <c r="E144" s="35" t="inlineStr">
        <is>
          <t>Validate dữ liệu chặt chẽ ở cả phía Client (React Hook Form/Zod) và Server API</t>
        </is>
      </c>
      <c r="F144" s="24" t="inlineStr">
        <is>
          <t>✓</t>
        </is>
      </c>
      <c r="G144" s="6" t="inlineStr">
        <is>
          <t>✓</t>
        </is>
      </c>
    </row>
    <row r="145" ht="20" customHeight="1">
      <c r="A145" s="29" t="inlineStr">
        <is>
          <t>M07</t>
        </is>
      </c>
      <c r="B145" s="30" t="inlineStr">
        <is>
          <t>Thu thập Lead &amp; Quy trình Tiếp nhận Đăng ký</t>
        </is>
      </c>
      <c r="C145" s="31" t="inlineStr">
        <is>
          <t>CORE</t>
        </is>
      </c>
      <c r="D145" s="22" t="inlineStr">
        <is>
          <t>Xử lý dữ liệu</t>
        </is>
      </c>
      <c r="E145" s="22" t="inlineStr">
        <is>
          <t>Cơ chế chống gửi trùng lặp (Submit Debounce) khi học viên bấm nút nhiều lần</t>
        </is>
      </c>
      <c r="F145" s="24" t="inlineStr">
        <is>
          <t>✓</t>
        </is>
      </c>
      <c r="G145" s="6" t="inlineStr">
        <is>
          <t>✓</t>
        </is>
      </c>
    </row>
    <row r="146" ht="20" customHeight="1">
      <c r="A146" s="32" t="inlineStr">
        <is>
          <t>M07</t>
        </is>
      </c>
      <c r="B146" s="33" t="inlineStr">
        <is>
          <t>Thu thập Lead &amp; Quy trình Tiếp nhận Đăng ký</t>
        </is>
      </c>
      <c r="C146" s="34" t="inlineStr">
        <is>
          <t>CORE</t>
        </is>
      </c>
      <c r="D146" s="35" t="inlineStr">
        <is>
          <t>Xử lý dữ liệu</t>
        </is>
      </c>
      <c r="E146" s="35" t="inlineStr">
        <is>
          <t>Cơ chế phòng chống spam tự động (Honeypot field &amp; Rate limiting API)</t>
        </is>
      </c>
      <c r="F146" s="24" t="inlineStr">
        <is>
          <t>✓</t>
        </is>
      </c>
      <c r="G146" s="6" t="inlineStr">
        <is>
          <t>✓</t>
        </is>
      </c>
    </row>
    <row r="147" ht="20" customHeight="1">
      <c r="A147" s="29" t="inlineStr">
        <is>
          <t>M07</t>
        </is>
      </c>
      <c r="B147" s="30" t="inlineStr">
        <is>
          <t>Thu thập Lead &amp; Quy trình Tiếp nhận Đăng ký</t>
        </is>
      </c>
      <c r="C147" s="31" t="inlineStr">
        <is>
          <t>CORE</t>
        </is>
      </c>
      <c r="D147" s="22" t="inlineStr">
        <is>
          <t>Xử lý dữ liệu</t>
        </is>
      </c>
      <c r="E147" s="22" t="inlineStr">
        <is>
          <t>Lưu trữ thông tin đăng ký an toàn vào bảng registrations trong Supabase PostgreSQL</t>
        </is>
      </c>
      <c r="F147" s="24" t="inlineStr">
        <is>
          <t>✓</t>
        </is>
      </c>
      <c r="G147" s="6" t="inlineStr">
        <is>
          <t>✓</t>
        </is>
      </c>
    </row>
    <row r="148" ht="20" customHeight="1">
      <c r="A148" s="32" t="inlineStr">
        <is>
          <t>M07</t>
        </is>
      </c>
      <c r="B148" s="33" t="inlineStr">
        <is>
          <t>Thu thập Lead &amp; Quy trình Tiếp nhận Đăng ký</t>
        </is>
      </c>
      <c r="C148" s="34" t="inlineStr">
        <is>
          <t>CORE</t>
        </is>
      </c>
      <c r="D148" s="35" t="inlineStr">
        <is>
          <t>Xử lý dữ liệu</t>
        </is>
      </c>
      <c r="E148" s="35" t="inlineStr">
        <is>
          <t>Ghi nhận nguồn đăng ký (URL trang đăng ký, thời gian tạo, thiết bị)</t>
        </is>
      </c>
      <c r="F148" s="24" t="inlineStr">
        <is>
          <t>✓</t>
        </is>
      </c>
      <c r="G148" s="6" t="inlineStr">
        <is>
          <t>✓</t>
        </is>
      </c>
    </row>
    <row r="149" ht="20" customHeight="1">
      <c r="A149" s="29" t="inlineStr">
        <is>
          <t>M07</t>
        </is>
      </c>
      <c r="B149" s="30" t="inlineStr">
        <is>
          <t>Thu thập Lead &amp; Quy trình Tiếp nhận Đăng ký</t>
        </is>
      </c>
      <c r="C149" s="31" t="inlineStr">
        <is>
          <t>CORE</t>
        </is>
      </c>
      <c r="D149" s="22" t="inlineStr">
        <is>
          <t>Phản hồi học viên</t>
        </is>
      </c>
      <c r="E149" s="22" t="inlineStr">
        <is>
          <t>Màn hình popup thông báo Đăng ký thành công tức thì với giao diện chuyên nghiệp</t>
        </is>
      </c>
      <c r="F149" s="24" t="inlineStr">
        <is>
          <t>✓</t>
        </is>
      </c>
      <c r="G149" s="6" t="inlineStr">
        <is>
          <t>✓</t>
        </is>
      </c>
    </row>
    <row r="150" ht="20" customHeight="1">
      <c r="A150" s="32" t="inlineStr">
        <is>
          <t>M07</t>
        </is>
      </c>
      <c r="B150" s="33" t="inlineStr">
        <is>
          <t>Thu thập Lead &amp; Quy trình Tiếp nhận Đăng ký</t>
        </is>
      </c>
      <c r="C150" s="34" t="inlineStr">
        <is>
          <t>CORE</t>
        </is>
      </c>
      <c r="D150" s="35" t="inlineStr">
        <is>
          <t>Phản hồi học viên</t>
        </is>
      </c>
      <c r="E150" s="35" t="inlineStr">
        <is>
          <t>Thông báo rõ ràng quy trình tiếp theo: Chuyên viên tuyển sinh sẽ gọi lại trong 15-30 phút</t>
        </is>
      </c>
      <c r="F150" s="24" t="inlineStr">
        <is>
          <t>✓</t>
        </is>
      </c>
      <c r="G150" s="6" t="inlineStr">
        <is>
          <t>✓</t>
        </is>
      </c>
    </row>
    <row r="151" ht="20" customHeight="1">
      <c r="A151" s="29" t="inlineStr">
        <is>
          <t>M07</t>
        </is>
      </c>
      <c r="B151" s="30" t="inlineStr">
        <is>
          <t>Thu thập Lead &amp; Quy trình Tiếp nhận Đăng ký</t>
        </is>
      </c>
      <c r="C151" s="31" t="inlineStr">
        <is>
          <t>CORE</t>
        </is>
      </c>
      <c r="D151" s="22" t="inlineStr">
        <is>
          <t>Phản hồi học viên</t>
        </is>
      </c>
      <c r="E151" s="22" t="inlineStr">
        <is>
          <t>Cung cấp Hotline hỗ trợ khẩn cấp nếu học viên cần giải đáp ngay lập tức</t>
        </is>
      </c>
      <c r="F151" s="24" t="inlineStr">
        <is>
          <t>✓</t>
        </is>
      </c>
      <c r="G151" s="6" t="inlineStr">
        <is>
          <t>✓</t>
        </is>
      </c>
    </row>
    <row r="152" ht="20" customHeight="1">
      <c r="A152" s="32" t="inlineStr">
        <is>
          <t>M07</t>
        </is>
      </c>
      <c r="B152" s="33" t="inlineStr">
        <is>
          <t>Thu thập Lead &amp; Quy trình Tiếp nhận Đăng ký</t>
        </is>
      </c>
      <c r="C152" s="34" t="inlineStr">
        <is>
          <t>CORE</t>
        </is>
      </c>
      <c r="D152" s="35" t="inlineStr">
        <is>
          <t>API Tuyển sinh</t>
        </is>
      </c>
      <c r="E152" s="35" t="inlineStr">
        <is>
          <t>Route API /api/contact tiếp nhận thông tin liên hệ và form tư vấn</t>
        </is>
      </c>
      <c r="F152" s="24" t="inlineStr">
        <is>
          <t>✓</t>
        </is>
      </c>
      <c r="G152" s="6" t="inlineStr">
        <is>
          <t>✓</t>
        </is>
      </c>
    </row>
    <row r="153" ht="20" customHeight="1">
      <c r="A153" s="29" t="inlineStr">
        <is>
          <t>M07</t>
        </is>
      </c>
      <c r="B153" s="30" t="inlineStr">
        <is>
          <t>Thu thập Lead &amp; Quy trình Tiếp nhận Đăng ký</t>
        </is>
      </c>
      <c r="C153" s="31" t="inlineStr">
        <is>
          <t>CORE</t>
        </is>
      </c>
      <c r="D153" s="22" t="inlineStr">
        <is>
          <t>API Tuyển sinh</t>
        </is>
      </c>
      <c r="E153" s="22" t="inlineStr">
        <is>
          <t>Route API /api/cms/registrations xử lý dữ liệu đăng ký khóa học</t>
        </is>
      </c>
      <c r="F153" s="24" t="inlineStr">
        <is>
          <t>✓</t>
        </is>
      </c>
      <c r="G153" s="6" t="inlineStr">
        <is>
          <t>✓</t>
        </is>
      </c>
    </row>
    <row r="154" ht="20" customHeight="1">
      <c r="A154" s="32" t="inlineStr">
        <is>
          <t>M08</t>
        </is>
      </c>
      <c r="B154" s="33" t="inlineStr">
        <is>
          <t>Back-office Quản trị Tuyển sinh, Khóa học &amp; Lead CRM</t>
        </is>
      </c>
      <c r="C154" s="34" t="inlineStr">
        <is>
          <t>CORE</t>
        </is>
      </c>
      <c r="D154" s="35" t="inlineStr">
        <is>
          <t>Admin Dashboard</t>
        </is>
      </c>
      <c r="E154" s="35" t="inlineStr">
        <is>
          <t>Giao diện quản trị CMS tổng quan (/admin) hiện đại, trực quan, hỗ trợ Dark/Light mode</t>
        </is>
      </c>
      <c r="F154" s="24" t="inlineStr">
        <is>
          <t>✓</t>
        </is>
      </c>
      <c r="G154" s="6" t="inlineStr">
        <is>
          <t>✓</t>
        </is>
      </c>
    </row>
    <row r="155" ht="20" customHeight="1">
      <c r="A155" s="29" t="inlineStr">
        <is>
          <t>M08</t>
        </is>
      </c>
      <c r="B155" s="30" t="inlineStr">
        <is>
          <t>Back-office Quản trị Tuyển sinh, Khóa học &amp; Lead CRM</t>
        </is>
      </c>
      <c r="C155" s="31" t="inlineStr">
        <is>
          <t>CORE</t>
        </is>
      </c>
      <c r="D155" s="22" t="inlineStr">
        <is>
          <t>Admin Dashboard</t>
        </is>
      </c>
      <c r="E155" s="22" t="inlineStr">
        <is>
          <t>Thẻ thống kê tổng số đơn đăng ký học viên mới tiếp nhận trong ngày/tuần/tháng</t>
        </is>
      </c>
      <c r="F155" s="24" t="inlineStr">
        <is>
          <t>✓</t>
        </is>
      </c>
      <c r="G155" s="6" t="inlineStr">
        <is>
          <t>✓</t>
        </is>
      </c>
    </row>
    <row r="156" ht="20" customHeight="1">
      <c r="A156" s="32" t="inlineStr">
        <is>
          <t>M08</t>
        </is>
      </c>
      <c r="B156" s="33" t="inlineStr">
        <is>
          <t>Back-office Quản trị Tuyển sinh, Khóa học &amp; Lead CRM</t>
        </is>
      </c>
      <c r="C156" s="34" t="inlineStr">
        <is>
          <t>CORE</t>
        </is>
      </c>
      <c r="D156" s="35" t="inlineStr">
        <is>
          <t>Admin Dashboard</t>
        </is>
      </c>
      <c r="E156" s="35" t="inlineStr">
        <is>
          <t>Thống kê tổng số khóa học đang mở tuyển sinh và số bài viết cẩm nang</t>
        </is>
      </c>
      <c r="F156" s="24" t="inlineStr">
        <is>
          <t>✓</t>
        </is>
      </c>
      <c r="G156" s="6" t="inlineStr">
        <is>
          <t>✓</t>
        </is>
      </c>
    </row>
    <row r="157" ht="20" customHeight="1">
      <c r="A157" s="29" t="inlineStr">
        <is>
          <t>M08</t>
        </is>
      </c>
      <c r="B157" s="30" t="inlineStr">
        <is>
          <t>Back-office Quản trị Tuyển sinh, Khóa học &amp; Lead CRM</t>
        </is>
      </c>
      <c r="C157" s="31" t="inlineStr">
        <is>
          <t>CORE</t>
        </is>
      </c>
      <c r="D157" s="22" t="inlineStr">
        <is>
          <t>Admin Dashboard</t>
        </is>
      </c>
      <c r="E157" s="22" t="inlineStr">
        <is>
          <t>Bảng danh sách các học viên mới đăng ký cần liên hệ tư vấn gấp (chờ xử lý)</t>
        </is>
      </c>
      <c r="F157" s="24" t="inlineStr">
        <is>
          <t>✓</t>
        </is>
      </c>
      <c r="G157" s="6" t="inlineStr">
        <is>
          <t>✓</t>
        </is>
      </c>
    </row>
    <row r="158" ht="20" customHeight="1">
      <c r="A158" s="32" t="inlineStr">
        <is>
          <t>M08</t>
        </is>
      </c>
      <c r="B158" s="33" t="inlineStr">
        <is>
          <t>Back-office Quản trị Tuyển sinh, Khóa học &amp; Lead CRM</t>
        </is>
      </c>
      <c r="C158" s="34" t="inlineStr">
        <is>
          <t>CORE</t>
        </is>
      </c>
      <c r="D158" s="35" t="inlineStr">
        <is>
          <t>Lead CRM</t>
        </is>
      </c>
      <c r="E158" s="35" t="inlineStr">
        <is>
          <t>Trang quản lý đơn đăng ký tuyển sinh chuyên dụng (/admin/dang-ky)</t>
        </is>
      </c>
      <c r="F158" s="24" t="inlineStr">
        <is>
          <t>✓</t>
        </is>
      </c>
      <c r="G158" s="6" t="inlineStr">
        <is>
          <t>✓</t>
        </is>
      </c>
    </row>
    <row r="159" ht="20" customHeight="1">
      <c r="A159" s="29" t="inlineStr">
        <is>
          <t>M08</t>
        </is>
      </c>
      <c r="B159" s="30" t="inlineStr">
        <is>
          <t>Back-office Quản trị Tuyển sinh, Khóa học &amp; Lead CRM</t>
        </is>
      </c>
      <c r="C159" s="31" t="inlineStr">
        <is>
          <t>CORE</t>
        </is>
      </c>
      <c r="D159" s="22" t="inlineStr">
        <is>
          <t>Lead CRM</t>
        </is>
      </c>
      <c r="E159" s="22" t="inlineStr">
        <is>
          <t>Bảng hiển thị danh sách lead với đầy đủ: Họ tên, Số điện thoại, Email, Khóa học, Ngày gửi</t>
        </is>
      </c>
      <c r="F159" s="24" t="inlineStr">
        <is>
          <t>✓</t>
        </is>
      </c>
      <c r="G159" s="6" t="inlineStr">
        <is>
          <t>✓</t>
        </is>
      </c>
    </row>
    <row r="160" ht="20" customHeight="1">
      <c r="A160" s="32" t="inlineStr">
        <is>
          <t>M08</t>
        </is>
      </c>
      <c r="B160" s="33" t="inlineStr">
        <is>
          <t>Back-office Quản trị Tuyển sinh, Khóa học &amp; Lead CRM</t>
        </is>
      </c>
      <c r="C160" s="34" t="inlineStr">
        <is>
          <t>CORE</t>
        </is>
      </c>
      <c r="D160" s="35" t="inlineStr">
        <is>
          <t>Lead CRM</t>
        </is>
      </c>
      <c r="E160" s="35" t="inlineStr">
        <is>
          <t>Bộ lọc đơn đăng ký theo Trạng thái xử lý: Mới tiếp nhận, Đã liên hệ, Đã nhập học, Hủy</t>
        </is>
      </c>
      <c r="F160" s="24" t="inlineStr">
        <is>
          <t>✓</t>
        </is>
      </c>
      <c r="G160" s="6" t="inlineStr">
        <is>
          <t>✓</t>
        </is>
      </c>
    </row>
    <row r="161" ht="20" customHeight="1">
      <c r="A161" s="29" t="inlineStr">
        <is>
          <t>M08</t>
        </is>
      </c>
      <c r="B161" s="30" t="inlineStr">
        <is>
          <t>Back-office Quản trị Tuyển sinh, Khóa học &amp; Lead CRM</t>
        </is>
      </c>
      <c r="C161" s="31" t="inlineStr">
        <is>
          <t>CORE</t>
        </is>
      </c>
      <c r="D161" s="22" t="inlineStr">
        <is>
          <t>Lead CRM</t>
        </is>
      </c>
      <c r="E161" s="22" t="inlineStr">
        <is>
          <t>Bộ lọc đơn đăng ký theo từng Khóa học cụ thể phục vụ giáo vụ tổng hợp danh sách lớp</t>
        </is>
      </c>
      <c r="F161" s="24" t="inlineStr">
        <is>
          <t>✓</t>
        </is>
      </c>
      <c r="G161" s="6" t="inlineStr">
        <is>
          <t>✓</t>
        </is>
      </c>
    </row>
    <row r="162" ht="20" customHeight="1">
      <c r="A162" s="32" t="inlineStr">
        <is>
          <t>M08</t>
        </is>
      </c>
      <c r="B162" s="33" t="inlineStr">
        <is>
          <t>Back-office Quản trị Tuyển sinh, Khóa học &amp; Lead CRM</t>
        </is>
      </c>
      <c r="C162" s="34" t="inlineStr">
        <is>
          <t>CORE</t>
        </is>
      </c>
      <c r="D162" s="35" t="inlineStr">
        <is>
          <t>Lead CRM</t>
        </is>
      </c>
      <c r="E162" s="35" t="inlineStr">
        <is>
          <t>Tìm kiếm nhanh học viên theo Số điện thoại hoặc Họ tên</t>
        </is>
      </c>
      <c r="F162" s="24" t="inlineStr">
        <is>
          <t>✓</t>
        </is>
      </c>
      <c r="G162" s="6" t="inlineStr">
        <is>
          <t>✓</t>
        </is>
      </c>
    </row>
    <row r="163" ht="20" customHeight="1">
      <c r="A163" s="29" t="inlineStr">
        <is>
          <t>M08</t>
        </is>
      </c>
      <c r="B163" s="30" t="inlineStr">
        <is>
          <t>Back-office Quản trị Tuyển sinh, Khóa học &amp; Lead CRM</t>
        </is>
      </c>
      <c r="C163" s="31" t="inlineStr">
        <is>
          <t>CORE</t>
        </is>
      </c>
      <c r="D163" s="22" t="inlineStr">
        <is>
          <t>Lead CRM</t>
        </is>
      </c>
      <c r="E163" s="22" t="inlineStr">
        <is>
          <t>Cập nhật Trạng thái xử lý đơn đăng ký (Pending -&gt; Contacted -&gt; Enrolled -&gt; Cancelled)</t>
        </is>
      </c>
      <c r="F163" s="24" t="inlineStr">
        <is>
          <t>✓</t>
        </is>
      </c>
      <c r="G163" s="6" t="inlineStr">
        <is>
          <t>✓</t>
        </is>
      </c>
    </row>
    <row r="164" ht="20" customHeight="1">
      <c r="A164" s="32" t="inlineStr">
        <is>
          <t>M08</t>
        </is>
      </c>
      <c r="B164" s="33" t="inlineStr">
        <is>
          <t>Back-office Quản trị Tuyển sinh, Khóa học &amp; Lead CRM</t>
        </is>
      </c>
      <c r="C164" s="34" t="inlineStr">
        <is>
          <t>CORE</t>
        </is>
      </c>
      <c r="D164" s="35" t="inlineStr">
        <is>
          <t>Lead CRM</t>
        </is>
      </c>
      <c r="E164" s="35" t="inlineStr">
        <is>
          <t>Ghi chú chăm sóc khách hàng nội bộ (lưu lại nhu cầu đặc biệt, hẹn ngày nhập học)</t>
        </is>
      </c>
      <c r="F164" s="24" t="inlineStr">
        <is>
          <t>✓</t>
        </is>
      </c>
      <c r="G164" s="6" t="inlineStr">
        <is>
          <t>✓</t>
        </is>
      </c>
    </row>
    <row r="165" ht="20" customHeight="1">
      <c r="A165" s="29" t="inlineStr">
        <is>
          <t>M08</t>
        </is>
      </c>
      <c r="B165" s="30" t="inlineStr">
        <is>
          <t>Back-office Quản trị Tuyển sinh, Khóa học &amp; Lead CRM</t>
        </is>
      </c>
      <c r="C165" s="31" t="inlineStr">
        <is>
          <t>CORE</t>
        </is>
      </c>
      <c r="D165" s="22" t="inlineStr">
        <is>
          <t>Lead CRM</t>
        </is>
      </c>
      <c r="E165" s="22" t="inlineStr">
        <is>
          <t>Lưu vết thời gian cập nhật trạng thái đơn phục vụ quản lý hiệu suất tư vấn</t>
        </is>
      </c>
      <c r="F165" s="24" t="inlineStr">
        <is>
          <t>✓</t>
        </is>
      </c>
      <c r="G165" s="6" t="inlineStr">
        <is>
          <t>✓</t>
        </is>
      </c>
    </row>
    <row r="166" ht="20" customHeight="1">
      <c r="A166" s="32" t="inlineStr">
        <is>
          <t>M08</t>
        </is>
      </c>
      <c r="B166" s="33" t="inlineStr">
        <is>
          <t>Back-office Quản trị Tuyển sinh, Khóa học &amp; Lead CRM</t>
        </is>
      </c>
      <c r="C166" s="34" t="inlineStr">
        <is>
          <t>CORE</t>
        </is>
      </c>
      <c r="D166" s="35" t="inlineStr">
        <is>
          <t>Quản lý Khóa học</t>
        </is>
      </c>
      <c r="E166" s="35" t="inlineStr">
        <is>
          <t>Trang quản lý khóa học (/admin/khoa-hoc): Tạo mới, sửa, nhân bản và xóa khóa học</t>
        </is>
      </c>
      <c r="F166" s="24" t="inlineStr">
        <is>
          <t>✓</t>
        </is>
      </c>
      <c r="G166" s="6" t="inlineStr">
        <is>
          <t>✓</t>
        </is>
      </c>
    </row>
    <row r="167" ht="20" customHeight="1">
      <c r="A167" s="29" t="inlineStr">
        <is>
          <t>M08</t>
        </is>
      </c>
      <c r="B167" s="30" t="inlineStr">
        <is>
          <t>Back-office Quản trị Tuyển sinh, Khóa học &amp; Lead CRM</t>
        </is>
      </c>
      <c r="C167" s="31" t="inlineStr">
        <is>
          <t>CORE</t>
        </is>
      </c>
      <c r="D167" s="22" t="inlineStr">
        <is>
          <t>Quản lý Khóa học</t>
        </is>
      </c>
      <c r="E167" s="22" t="inlineStr">
        <is>
          <t>Form chỉnh sửa thông tin khóa học: Tên, slug, danh mục, hình thức học, học phí, sĩ số</t>
        </is>
      </c>
      <c r="F167" s="24" t="inlineStr">
        <is>
          <t>✓</t>
        </is>
      </c>
      <c r="G167" s="6" t="inlineStr">
        <is>
          <t>✓</t>
        </is>
      </c>
    </row>
    <row r="168" ht="20" customHeight="1">
      <c r="A168" s="32" t="inlineStr">
        <is>
          <t>M08</t>
        </is>
      </c>
      <c r="B168" s="33" t="inlineStr">
        <is>
          <t>Back-office Quản trị Tuyển sinh, Khóa học &amp; Lead CRM</t>
        </is>
      </c>
      <c r="C168" s="34" t="inlineStr">
        <is>
          <t>CORE</t>
        </is>
      </c>
      <c r="D168" s="35" t="inlineStr">
        <is>
          <t>Quản lý Khóa học</t>
        </is>
      </c>
      <c r="E168" s="35" t="inlineStr">
        <is>
          <t>Trình chỉnh sửa giáo trình chi tiết (Curriculum Builder) theo từng buổi học</t>
        </is>
      </c>
      <c r="F168" s="24" t="inlineStr">
        <is>
          <t>✓</t>
        </is>
      </c>
      <c r="G168" s="6" t="inlineStr">
        <is>
          <t>✓</t>
        </is>
      </c>
    </row>
    <row r="169" ht="20" customHeight="1">
      <c r="A169" s="29" t="inlineStr">
        <is>
          <t>M08</t>
        </is>
      </c>
      <c r="B169" s="30" t="inlineStr">
        <is>
          <t>Back-office Quản trị Tuyển sinh, Khóa học &amp; Lead CRM</t>
        </is>
      </c>
      <c r="C169" s="31" t="inlineStr">
        <is>
          <t>CORE</t>
        </is>
      </c>
      <c r="D169" s="22" t="inlineStr">
        <is>
          <t>Quản lý Khóa học</t>
        </is>
      </c>
      <c r="E169" s="22" t="inlineStr">
        <is>
          <t>Quản lý thẻ điểm nổi bật (Highlights tags) và gán Giảng viên phụ trách</t>
        </is>
      </c>
      <c r="F169" s="24" t="inlineStr">
        <is>
          <t>✓</t>
        </is>
      </c>
      <c r="G169" s="6" t="inlineStr">
        <is>
          <t>✓</t>
        </is>
      </c>
    </row>
    <row r="170" ht="20" customHeight="1">
      <c r="A170" s="32" t="inlineStr">
        <is>
          <t>M08</t>
        </is>
      </c>
      <c r="B170" s="33" t="inlineStr">
        <is>
          <t>Back-office Quản trị Tuyển sinh, Khóa học &amp; Lead CRM</t>
        </is>
      </c>
      <c r="C170" s="34" t="inlineStr">
        <is>
          <t>CORE</t>
        </is>
      </c>
      <c r="D170" s="35" t="inlineStr">
        <is>
          <t>Quản lý Giảng viên</t>
        </is>
      </c>
      <c r="E170" s="35" t="inlineStr">
        <is>
          <t>Trang quản lý giảng viên (/admin/giang-vien): Tạo mới, cập nhật hồ sơ Master Chef</t>
        </is>
      </c>
      <c r="F170" s="24" t="inlineStr">
        <is>
          <t>✓</t>
        </is>
      </c>
      <c r="G170" s="6" t="inlineStr">
        <is>
          <t>✓</t>
        </is>
      </c>
    </row>
    <row r="171" ht="20" customHeight="1">
      <c r="A171" s="29" t="inlineStr">
        <is>
          <t>M08</t>
        </is>
      </c>
      <c r="B171" s="30" t="inlineStr">
        <is>
          <t>Back-office Quản trị Tuyển sinh, Khóa học &amp; Lead CRM</t>
        </is>
      </c>
      <c r="C171" s="31" t="inlineStr">
        <is>
          <t>CORE</t>
        </is>
      </c>
      <c r="D171" s="22" t="inlineStr">
        <is>
          <t>Quản lý Giảng viên</t>
        </is>
      </c>
      <c r="E171" s="22" t="inlineStr">
        <is>
          <t>Cập nhật danh hiệu, số năm kinh nghiệm, giải thưởng, thành tựu và câu nói tâm đắc</t>
        </is>
      </c>
      <c r="F171" s="24" t="inlineStr">
        <is>
          <t>✓</t>
        </is>
      </c>
      <c r="G171" s="6" t="inlineStr">
        <is>
          <t>✓</t>
        </is>
      </c>
    </row>
    <row r="172" ht="20" customHeight="1">
      <c r="A172" s="32" t="inlineStr">
        <is>
          <t>M08</t>
        </is>
      </c>
      <c r="B172" s="33" t="inlineStr">
        <is>
          <t>Back-office Quản trị Tuyển sinh, Khóa học &amp; Lead CRM</t>
        </is>
      </c>
      <c r="C172" s="34" t="inlineStr">
        <is>
          <t>CORE</t>
        </is>
      </c>
      <c r="D172" s="35" t="inlineStr">
        <is>
          <t>Cài đặt &amp; Pháp lý</t>
        </is>
      </c>
      <c r="E172" s="35" t="inlineStr">
        <is>
          <t>Trang quản lý FAQ (/admin/faq) thêm sửa xóa câu hỏi thường gặp</t>
        </is>
      </c>
      <c r="F172" s="24" t="inlineStr">
        <is>
          <t>✓</t>
        </is>
      </c>
      <c r="G172" s="6" t="inlineStr">
        <is>
          <t>✓</t>
        </is>
      </c>
    </row>
    <row r="173" ht="20" customHeight="1">
      <c r="A173" s="29" t="inlineStr">
        <is>
          <t>M08</t>
        </is>
      </c>
      <c r="B173" s="30" t="inlineStr">
        <is>
          <t>Back-office Quản trị Tuyển sinh, Khóa học &amp; Lead CRM</t>
        </is>
      </c>
      <c r="C173" s="31" t="inlineStr">
        <is>
          <t>CORE</t>
        </is>
      </c>
      <c r="D173" s="22" t="inlineStr">
        <is>
          <t>Cài đặt &amp; Pháp lý</t>
        </is>
      </c>
      <c r="E173" s="22" t="inlineStr">
        <is>
          <t>Trang quản lý Chính sách (/admin/chinh-sach) cập nhật quy chế đào tạo</t>
        </is>
      </c>
      <c r="F173" s="24" t="inlineStr">
        <is>
          <t>✓</t>
        </is>
      </c>
      <c r="G173" s="6" t="inlineStr">
        <is>
          <t>✓</t>
        </is>
      </c>
    </row>
    <row r="174" ht="20" customHeight="1">
      <c r="A174" s="32" t="inlineStr">
        <is>
          <t>M08</t>
        </is>
      </c>
      <c r="B174" s="33" t="inlineStr">
        <is>
          <t>Back-office Quản trị Tuyển sinh, Khóa học &amp; Lead CRM</t>
        </is>
      </c>
      <c r="C174" s="34" t="inlineStr">
        <is>
          <t>CORE</t>
        </is>
      </c>
      <c r="D174" s="35" t="inlineStr">
        <is>
          <t>Cài đặt &amp; Pháp lý</t>
        </is>
      </c>
      <c r="E174" s="35" t="inlineStr">
        <is>
          <t>Trang cài đặt hệ thống (/admin/cai-dat) cấu hình thương hiệu, hotline, mạng xã hội</t>
        </is>
      </c>
      <c r="F174" s="24" t="inlineStr">
        <is>
          <t>✓</t>
        </is>
      </c>
      <c r="G174" s="6" t="inlineStr">
        <is>
          <t>✓</t>
        </is>
      </c>
    </row>
    <row r="175" ht="20" customHeight="1">
      <c r="A175" s="29" t="inlineStr">
        <is>
          <t>M08</t>
        </is>
      </c>
      <c r="B175" s="30" t="inlineStr">
        <is>
          <t>Back-office Quản trị Tuyển sinh, Khóa học &amp; Lead CRM</t>
        </is>
      </c>
      <c r="C175" s="31" t="inlineStr">
        <is>
          <t>CORE</t>
        </is>
      </c>
      <c r="D175" s="22" t="inlineStr">
        <is>
          <t>Bảo mật quản trị</t>
        </is>
      </c>
      <c r="E175" s="22" t="inlineStr">
        <is>
          <t>Xác thực đăng nhập quản trị qua Supabase Auth, bảo vệ tuyến đường /admin/*</t>
        </is>
      </c>
      <c r="F175" s="24" t="inlineStr">
        <is>
          <t>✓</t>
        </is>
      </c>
      <c r="G175" s="6" t="inlineStr">
        <is>
          <t>✓</t>
        </is>
      </c>
    </row>
    <row r="176" ht="20" customHeight="1">
      <c r="A176" s="32" t="inlineStr">
        <is>
          <t>M09</t>
        </is>
      </c>
      <c r="B176" s="33" t="inlineStr">
        <is>
          <t>Kho Media Tập trung &amp; Tối ưu Nén ảnh Client-side</t>
        </is>
      </c>
      <c r="C176" s="34" t="inlineStr">
        <is>
          <t>CORE</t>
        </is>
      </c>
      <c r="D176" s="35" t="inlineStr">
        <is>
          <t>Quản lý Media</t>
        </is>
      </c>
      <c r="E176" s="35" t="inlineStr">
        <is>
          <t>Trang thư viện Media tập trung (/admin/media) quản lý toàn bộ hình ảnh và video</t>
        </is>
      </c>
      <c r="F176" s="24" t="inlineStr">
        <is>
          <t>✓</t>
        </is>
      </c>
      <c r="G176" s="6" t="inlineStr">
        <is>
          <t>✓</t>
        </is>
      </c>
    </row>
    <row r="177" ht="20" customHeight="1">
      <c r="A177" s="29" t="inlineStr">
        <is>
          <t>M09</t>
        </is>
      </c>
      <c r="B177" s="30" t="inlineStr">
        <is>
          <t>Kho Media Tập trung &amp; Tối ưu Nén ảnh Client-side</t>
        </is>
      </c>
      <c r="C177" s="31" t="inlineStr">
        <is>
          <t>CORE</t>
        </is>
      </c>
      <c r="D177" s="22" t="inlineStr">
        <is>
          <t>Nén ảnh tự động</t>
        </is>
      </c>
      <c r="E177" s="22" t="inlineStr">
        <is>
          <t>Tích hợp thư viện nén ảnh tự động phía Client trước khi upload (image-compressor.ts)</t>
        </is>
      </c>
      <c r="F177" s="24" t="inlineStr">
        <is>
          <t>✓</t>
        </is>
      </c>
      <c r="G177" s="6" t="inlineStr">
        <is>
          <t>✓</t>
        </is>
      </c>
    </row>
    <row r="178" ht="20" customHeight="1">
      <c r="A178" s="32" t="inlineStr">
        <is>
          <t>M09</t>
        </is>
      </c>
      <c r="B178" s="33" t="inlineStr">
        <is>
          <t>Kho Media Tập trung &amp; Tối ưu Nén ảnh Client-side</t>
        </is>
      </c>
      <c r="C178" s="34" t="inlineStr">
        <is>
          <t>CORE</t>
        </is>
      </c>
      <c r="D178" s="35" t="inlineStr">
        <is>
          <t>Nén ảnh tự động</t>
        </is>
      </c>
      <c r="E178" s="35" t="inlineStr">
        <is>
          <t>Tự động chuyển đổi hình ảnh sang định dạng WebP hiện đại, giảm dung lượng 70-80%</t>
        </is>
      </c>
      <c r="F178" s="24" t="inlineStr">
        <is>
          <t>✓</t>
        </is>
      </c>
      <c r="G178" s="6" t="inlineStr">
        <is>
          <t>✓</t>
        </is>
      </c>
    </row>
    <row r="179" ht="20" customHeight="1">
      <c r="A179" s="29" t="inlineStr">
        <is>
          <t>M09</t>
        </is>
      </c>
      <c r="B179" s="30" t="inlineStr">
        <is>
          <t>Kho Media Tập trung &amp; Tối ưu Nén ảnh Client-side</t>
        </is>
      </c>
      <c r="C179" s="31" t="inlineStr">
        <is>
          <t>CORE</t>
        </is>
      </c>
      <c r="D179" s="22" t="inlineStr">
        <is>
          <t>Nén ảnh tự động</t>
        </is>
      </c>
      <c r="E179" s="22" t="inlineStr">
        <is>
          <t>Giữ nguyên độ sắc nét và màu sắc trung thực của món ăn phục vụ hiển thị chất lượng cao</t>
        </is>
      </c>
      <c r="F179" s="24" t="inlineStr">
        <is>
          <t>✓</t>
        </is>
      </c>
      <c r="G179" s="6" t="inlineStr">
        <is>
          <t>✓</t>
        </is>
      </c>
    </row>
    <row r="180" ht="20" customHeight="1">
      <c r="A180" s="32" t="inlineStr">
        <is>
          <t>M09</t>
        </is>
      </c>
      <c r="B180" s="33" t="inlineStr">
        <is>
          <t>Kho Media Tập trung &amp; Tối ưu Nén ảnh Client-side</t>
        </is>
      </c>
      <c r="C180" s="34" t="inlineStr">
        <is>
          <t>CORE</t>
        </is>
      </c>
      <c r="D180" s="35" t="inlineStr">
        <is>
          <t>Tải lên &amp; Lưu trữ</t>
        </is>
      </c>
      <c r="E180" s="35" t="inlineStr">
        <is>
          <t>Hỗ trợ tải lên nhiều hình ảnh cùng lúc (Batch Upload) với thanh tiến trình trực quan</t>
        </is>
      </c>
      <c r="F180" s="24" t="inlineStr">
        <is>
          <t>✓</t>
        </is>
      </c>
      <c r="G180" s="6" t="inlineStr">
        <is>
          <t>✓</t>
        </is>
      </c>
    </row>
    <row r="181" ht="20" customHeight="1">
      <c r="A181" s="29" t="inlineStr">
        <is>
          <t>M09</t>
        </is>
      </c>
      <c r="B181" s="30" t="inlineStr">
        <is>
          <t>Kho Media Tập trung &amp; Tối ưu Nén ảnh Client-side</t>
        </is>
      </c>
      <c r="C181" s="31" t="inlineStr">
        <is>
          <t>CORE</t>
        </is>
      </c>
      <c r="D181" s="22" t="inlineStr">
        <is>
          <t>Tải lên &amp; Lưu trữ</t>
        </is>
      </c>
      <c r="E181" s="22" t="inlineStr">
        <is>
          <t>Lưu trữ tài nguyên an toàn trên Supabase Storage hoặc Cloud Storage tối ưu băng thông</t>
        </is>
      </c>
      <c r="F181" s="24" t="inlineStr">
        <is>
          <t>✓</t>
        </is>
      </c>
      <c r="G181" s="6" t="inlineStr">
        <is>
          <t>✓</t>
        </is>
      </c>
    </row>
    <row r="182" ht="20" customHeight="1">
      <c r="A182" s="32" t="inlineStr">
        <is>
          <t>M09</t>
        </is>
      </c>
      <c r="B182" s="33" t="inlineStr">
        <is>
          <t>Kho Media Tập trung &amp; Tối ưu Nén ảnh Client-side</t>
        </is>
      </c>
      <c r="C182" s="34" t="inlineStr">
        <is>
          <t>CORE</t>
        </is>
      </c>
      <c r="D182" s="35" t="inlineStr">
        <is>
          <t>Tải lên &amp; Lưu trữ</t>
        </is>
      </c>
      <c r="E182" s="35" t="inlineStr">
        <is>
          <t>Route API /api/cms/upload xử lý xác thực và kiểm tra dung lượng, định dạng file</t>
        </is>
      </c>
      <c r="F182" s="24" t="inlineStr">
        <is>
          <t>✓</t>
        </is>
      </c>
      <c r="G182" s="6" t="inlineStr">
        <is>
          <t>✓</t>
        </is>
      </c>
    </row>
    <row r="183" ht="20" customHeight="1">
      <c r="A183" s="29" t="inlineStr">
        <is>
          <t>M09</t>
        </is>
      </c>
      <c r="B183" s="30" t="inlineStr">
        <is>
          <t>Kho Media Tập trung &amp; Tối ưu Nén ảnh Client-side</t>
        </is>
      </c>
      <c r="C183" s="31" t="inlineStr">
        <is>
          <t>CORE</t>
        </is>
      </c>
      <c r="D183" s="22" t="inlineStr">
        <is>
          <t>Bộ chọn ảnh Modal</t>
        </is>
      </c>
      <c r="E183" s="22" t="inlineStr">
        <is>
          <t>Modal chọn ảnh dùng chung (Media Picker Modal) tái sử dụng trong toàn bộ CMS</t>
        </is>
      </c>
      <c r="F183" s="24" t="inlineStr">
        <is>
          <t>✓</t>
        </is>
      </c>
      <c r="G183" s="6" t="inlineStr">
        <is>
          <t>✓</t>
        </is>
      </c>
    </row>
    <row r="184" ht="20" customHeight="1">
      <c r="A184" s="32" t="inlineStr">
        <is>
          <t>M09</t>
        </is>
      </c>
      <c r="B184" s="33" t="inlineStr">
        <is>
          <t>Kho Media Tập trung &amp; Tối ưu Nén ảnh Client-side</t>
        </is>
      </c>
      <c r="C184" s="34" t="inlineStr">
        <is>
          <t>CORE</t>
        </is>
      </c>
      <c r="D184" s="35" t="inlineStr">
        <is>
          <t>Bộ chọn ảnh Modal</t>
        </is>
      </c>
      <c r="E184" s="35" t="inlineStr">
        <is>
          <t>Tích hợp Media Picker vào form Khóa học (chọn ảnh bìa và gallery món ăn)</t>
        </is>
      </c>
      <c r="F184" s="24" t="inlineStr">
        <is>
          <t>✓</t>
        </is>
      </c>
      <c r="G184" s="6" t="inlineStr">
        <is>
          <t>✓</t>
        </is>
      </c>
    </row>
    <row r="185" ht="20" customHeight="1">
      <c r="A185" s="29" t="inlineStr">
        <is>
          <t>M09</t>
        </is>
      </c>
      <c r="B185" s="30" t="inlineStr">
        <is>
          <t>Kho Media Tập trung &amp; Tối ưu Nén ảnh Client-side</t>
        </is>
      </c>
      <c r="C185" s="31" t="inlineStr">
        <is>
          <t>CORE</t>
        </is>
      </c>
      <c r="D185" s="22" t="inlineStr">
        <is>
          <t>Bộ chọn ảnh Modal</t>
        </is>
      </c>
      <c r="E185" s="22" t="inlineStr">
        <is>
          <t>Tích hợp Media Picker vào form Giảng viên (chọn ảnh chân dung Master Chef)</t>
        </is>
      </c>
      <c r="F185" s="24" t="inlineStr">
        <is>
          <t>✓</t>
        </is>
      </c>
      <c r="G185" s="6" t="inlineStr">
        <is>
          <t>✓</t>
        </is>
      </c>
    </row>
    <row r="186" ht="20" customHeight="1">
      <c r="A186" s="32" t="inlineStr">
        <is>
          <t>M09</t>
        </is>
      </c>
      <c r="B186" s="33" t="inlineStr">
        <is>
          <t>Kho Media Tập trung &amp; Tối ưu Nén ảnh Client-side</t>
        </is>
      </c>
      <c r="C186" s="34" t="inlineStr">
        <is>
          <t>CORE</t>
        </is>
      </c>
      <c r="D186" s="35" t="inlineStr">
        <is>
          <t>Bộ chọn ảnh Modal</t>
        </is>
      </c>
      <c r="E186" s="35" t="inlineStr">
        <is>
          <t>Tích hợp Media Picker vào trình soạn thảo bài viết Blog / Tin tức</t>
        </is>
      </c>
      <c r="F186" s="24" t="inlineStr">
        <is>
          <t>✓</t>
        </is>
      </c>
      <c r="G186" s="6" t="inlineStr">
        <is>
          <t>✓</t>
        </is>
      </c>
    </row>
    <row r="187" ht="20" customHeight="1">
      <c r="A187" s="29" t="inlineStr">
        <is>
          <t>M09</t>
        </is>
      </c>
      <c r="B187" s="30" t="inlineStr">
        <is>
          <t>Kho Media Tập trung &amp; Tối ưu Nén ảnh Client-side</t>
        </is>
      </c>
      <c r="C187" s="31" t="inlineStr">
        <is>
          <t>CORE</t>
        </is>
      </c>
      <c r="D187" s="22" t="inlineStr">
        <is>
          <t>Bộ chọn ảnh Modal</t>
        </is>
      </c>
      <c r="E187" s="22" t="inlineStr">
        <is>
          <t>Tích hợp Media Picker vào Cài đặt hệ thống (chọn Logo, Favicon, Banner Hero)</t>
        </is>
      </c>
      <c r="F187" s="24" t="inlineStr">
        <is>
          <t>✓</t>
        </is>
      </c>
      <c r="G187" s="6" t="inlineStr">
        <is>
          <t>✓</t>
        </is>
      </c>
    </row>
    <row r="188" ht="20" customHeight="1">
      <c r="A188" s="32" t="inlineStr">
        <is>
          <t>M09</t>
        </is>
      </c>
      <c r="B188" s="33" t="inlineStr">
        <is>
          <t>Kho Media Tập trung &amp; Tối ưu Nén ảnh Client-side</t>
        </is>
      </c>
      <c r="C188" s="34" t="inlineStr">
        <is>
          <t>CORE</t>
        </is>
      </c>
      <c r="D188" s="35" t="inlineStr">
        <is>
          <t>Xem trước &amp; Tiện ích</t>
        </is>
      </c>
      <c r="E188" s="35" t="inlineStr">
        <is>
          <t>Xem trước ảnh kích thước lớn bằng Lightbox Modal không cần tải file về máy</t>
        </is>
      </c>
      <c r="F188" s="24" t="inlineStr">
        <is>
          <t>✓</t>
        </is>
      </c>
      <c r="G188" s="6" t="inlineStr">
        <is>
          <t>✓</t>
        </is>
      </c>
    </row>
    <row r="189" ht="20" customHeight="1">
      <c r="A189" s="29" t="inlineStr">
        <is>
          <t>M09</t>
        </is>
      </c>
      <c r="B189" s="30" t="inlineStr">
        <is>
          <t>Kho Media Tập trung &amp; Tối ưu Nén ảnh Client-side</t>
        </is>
      </c>
      <c r="C189" s="31" t="inlineStr">
        <is>
          <t>CORE</t>
        </is>
      </c>
      <c r="D189" s="22" t="inlineStr">
        <is>
          <t>Xem trước &amp; Tiện ích</t>
        </is>
      </c>
      <c r="E189" s="22" t="inlineStr">
        <is>
          <t>Tính năng Copy nhanh đường dẫn URL ảnh vào clipboard với 1 cú click</t>
        </is>
      </c>
      <c r="F189" s="24" t="inlineStr">
        <is>
          <t>✓</t>
        </is>
      </c>
      <c r="G189" s="6" t="inlineStr">
        <is>
          <t>✓</t>
        </is>
      </c>
    </row>
    <row r="190" ht="20" customHeight="1">
      <c r="A190" s="32" t="inlineStr">
        <is>
          <t>M09</t>
        </is>
      </c>
      <c r="B190" s="33" t="inlineStr">
        <is>
          <t>Kho Media Tập trung &amp; Tối ưu Nén ảnh Client-side</t>
        </is>
      </c>
      <c r="C190" s="34" t="inlineStr">
        <is>
          <t>CORE</t>
        </is>
      </c>
      <c r="D190" s="35" t="inlineStr">
        <is>
          <t>Xem trước &amp; Tiện ích</t>
        </is>
      </c>
      <c r="E190" s="35" t="inlineStr">
        <is>
          <t>Xóa hình ảnh không còn sử dụng kèm hộp thoại xác nhận an toàn</t>
        </is>
      </c>
      <c r="F190" s="24" t="inlineStr">
        <is>
          <t>✓</t>
        </is>
      </c>
      <c r="G190" s="6" t="inlineStr">
        <is>
          <t>✓</t>
        </is>
      </c>
    </row>
    <row r="191" ht="20" customHeight="1">
      <c r="A191" s="29" t="inlineStr">
        <is>
          <t>M09</t>
        </is>
      </c>
      <c r="B191" s="30" t="inlineStr">
        <is>
          <t>Kho Media Tập trung &amp; Tối ưu Nén ảnh Client-side</t>
        </is>
      </c>
      <c r="C191" s="31" t="inlineStr">
        <is>
          <t>CORE</t>
        </is>
      </c>
      <c r="D191" s="22" t="inlineStr">
        <is>
          <t>Xem trước &amp; Tiện ích</t>
        </is>
      </c>
      <c r="E191" s="22" t="inlineStr">
        <is>
          <t>Phân trang và tìm kiếm hình ảnh theo tên file trong thư viện media</t>
        </is>
      </c>
      <c r="F191" s="24" t="inlineStr">
        <is>
          <t>✓</t>
        </is>
      </c>
      <c r="G191" s="6" t="inlineStr">
        <is>
          <t>✓</t>
        </is>
      </c>
    </row>
    <row r="192" ht="20" customHeight="1">
      <c r="A192" s="32" t="inlineStr">
        <is>
          <t>M10</t>
        </is>
      </c>
      <c r="B192" s="33" t="inlineStr">
        <is>
          <t>Blog Cẩm nang Ẩm thực, Bí quyết Nấu ăn &amp; Mở quán F&amp;B</t>
        </is>
      </c>
      <c r="C192" s="34" t="inlineStr">
        <is>
          <t>CORE</t>
        </is>
      </c>
      <c r="D192" s="35" t="inlineStr">
        <is>
          <t>Trang danh mục</t>
        </is>
      </c>
      <c r="E192" s="35" t="inlineStr">
        <is>
          <t>Trang danh sách cẩm nang ẩm thực &amp; tin tức chuyên ngành F&amp;B (/tin-tuc)</t>
        </is>
      </c>
      <c r="F192" s="24" t="inlineStr">
        <is>
          <t>✓</t>
        </is>
      </c>
      <c r="G192" s="6" t="inlineStr">
        <is>
          <t>✓</t>
        </is>
      </c>
    </row>
    <row r="193" ht="20" customHeight="1">
      <c r="A193" s="29" t="inlineStr">
        <is>
          <t>M10</t>
        </is>
      </c>
      <c r="B193" s="30" t="inlineStr">
        <is>
          <t>Blog Cẩm nang Ẩm thực, Bí quyết Nấu ăn &amp; Mở quán F&amp;B</t>
        </is>
      </c>
      <c r="C193" s="31" t="inlineStr">
        <is>
          <t>CORE</t>
        </is>
      </c>
      <c r="D193" s="22" t="inlineStr">
        <is>
          <t>Trang danh mục</t>
        </is>
      </c>
      <c r="E193" s="22" t="inlineStr">
        <is>
          <t>Phân loại bài viết theo chuyên mục: Bí quyết nấu ăn ngon, Kinh nghiệm mở quán, Xu hướng F&amp;B</t>
        </is>
      </c>
      <c r="F193" s="24" t="inlineStr">
        <is>
          <t>✓</t>
        </is>
      </c>
      <c r="G193" s="6" t="inlineStr">
        <is>
          <t>✓</t>
        </is>
      </c>
    </row>
    <row r="194" ht="20" customHeight="1">
      <c r="A194" s="32" t="inlineStr">
        <is>
          <t>M10</t>
        </is>
      </c>
      <c r="B194" s="33" t="inlineStr">
        <is>
          <t>Blog Cẩm nang Ẩm thực, Bí quyết Nấu ăn &amp; Mở quán F&amp;B</t>
        </is>
      </c>
      <c r="C194" s="34" t="inlineStr">
        <is>
          <t>CORE</t>
        </is>
      </c>
      <c r="D194" s="35" t="inlineStr">
        <is>
          <t>Trang danh mục</t>
        </is>
      </c>
      <c r="E194" s="35" t="inlineStr">
        <is>
          <t>Hiển thị bài viết tiêu biểu (Featured Post) với kích thước lớn nổi bật ở đầu trang</t>
        </is>
      </c>
      <c r="F194" s="24" t="inlineStr">
        <is>
          <t>✓</t>
        </is>
      </c>
      <c r="G194" s="6" t="inlineStr">
        <is>
          <t>✓</t>
        </is>
      </c>
    </row>
    <row r="195" ht="20" customHeight="1">
      <c r="A195" s="29" t="inlineStr">
        <is>
          <t>M10</t>
        </is>
      </c>
      <c r="B195" s="30" t="inlineStr">
        <is>
          <t>Blog Cẩm nang Ẩm thực, Bí quyết Nấu ăn &amp; Mở quán F&amp;B</t>
        </is>
      </c>
      <c r="C195" s="31" t="inlineStr">
        <is>
          <t>CORE</t>
        </is>
      </c>
      <c r="D195" s="22" t="inlineStr">
        <is>
          <t>Trang danh mục</t>
        </is>
      </c>
      <c r="E195" s="22" t="inlineStr">
        <is>
          <t>Thẻ bài viết hiển thị ảnh bìa, tiêu đề, đoạn trích ngắn, tác giả, ngày đăng và thời gian đọc</t>
        </is>
      </c>
      <c r="F195" s="24" t="inlineStr">
        <is>
          <t>✓</t>
        </is>
      </c>
      <c r="G195" s="6" t="inlineStr">
        <is>
          <t>✓</t>
        </is>
      </c>
    </row>
    <row r="196" ht="20" customHeight="1">
      <c r="A196" s="32" t="inlineStr">
        <is>
          <t>M10</t>
        </is>
      </c>
      <c r="B196" s="33" t="inlineStr">
        <is>
          <t>Blog Cẩm nang Ẩm thực, Bí quyết Nấu ăn &amp; Mở quán F&amp;B</t>
        </is>
      </c>
      <c r="C196" s="34" t="inlineStr">
        <is>
          <t>CORE</t>
        </is>
      </c>
      <c r="D196" s="35" t="inlineStr">
        <is>
          <t>Trang danh mục</t>
        </is>
      </c>
      <c r="E196" s="35" t="inlineStr">
        <is>
          <t>Tìm kiếm bài viết cẩm nang theo từ khóa và lọc theo chuyên mục</t>
        </is>
      </c>
      <c r="F196" s="24" t="inlineStr">
        <is>
          <t>✓</t>
        </is>
      </c>
      <c r="G196" s="6" t="inlineStr">
        <is>
          <t>✓</t>
        </is>
      </c>
    </row>
    <row r="197" ht="20" customHeight="1">
      <c r="A197" s="29" t="inlineStr">
        <is>
          <t>M10</t>
        </is>
      </c>
      <c r="B197" s="30" t="inlineStr">
        <is>
          <t>Blog Cẩm nang Ẩm thực, Bí quyết Nấu ăn &amp; Mở quán F&amp;B</t>
        </is>
      </c>
      <c r="C197" s="31" t="inlineStr">
        <is>
          <t>CORE</t>
        </is>
      </c>
      <c r="D197" s="22" t="inlineStr">
        <is>
          <t>Trang chi tiết</t>
        </is>
      </c>
      <c r="E197" s="22" t="inlineStr">
        <is>
          <t>Trang chi tiết bài viết cẩm nang chuẩn SEO (/tin-tuc/[slug])</t>
        </is>
      </c>
      <c r="F197" s="24" t="inlineStr">
        <is>
          <t>✓</t>
        </is>
      </c>
      <c r="G197" s="6" t="inlineStr">
        <is>
          <t>✓</t>
        </is>
      </c>
    </row>
    <row r="198" ht="20" customHeight="1">
      <c r="A198" s="32" t="inlineStr">
        <is>
          <t>M10</t>
        </is>
      </c>
      <c r="B198" s="33" t="inlineStr">
        <is>
          <t>Blog Cẩm nang Ẩm thực, Bí quyết Nấu ăn &amp; Mở quán F&amp;B</t>
        </is>
      </c>
      <c r="C198" s="34" t="inlineStr">
        <is>
          <t>CORE</t>
        </is>
      </c>
      <c r="D198" s="35" t="inlineStr">
        <is>
          <t>Trang chi tiết</t>
        </is>
      </c>
      <c r="E198" s="35" t="inlineStr">
        <is>
          <t>Mục lục tự động (Table of Contents - TOC) tự động nhận diện thẻ H2, H3 trong bài viết</t>
        </is>
      </c>
      <c r="F198" s="24" t="inlineStr">
        <is>
          <t>✓</t>
        </is>
      </c>
      <c r="G198" s="6" t="inlineStr">
        <is>
          <t>✓</t>
        </is>
      </c>
    </row>
    <row r="199" ht="20" customHeight="1">
      <c r="A199" s="29" t="inlineStr">
        <is>
          <t>M10</t>
        </is>
      </c>
      <c r="B199" s="30" t="inlineStr">
        <is>
          <t>Blog Cẩm nang Ẩm thực, Bí quyết Nấu ăn &amp; Mở quán F&amp;B</t>
        </is>
      </c>
      <c r="C199" s="31" t="inlineStr">
        <is>
          <t>CORE</t>
        </is>
      </c>
      <c r="D199" s="22" t="inlineStr">
        <is>
          <t>Trang chi tiết</t>
        </is>
      </c>
      <c r="E199" s="22" t="inlineStr">
        <is>
          <t>TOC tự động scroll đến phần nội dung tương ứng và highlight mục đang đọc</t>
        </is>
      </c>
      <c r="F199" s="24" t="inlineStr">
        <is>
          <t>✓</t>
        </is>
      </c>
      <c r="G199" s="6" t="inlineStr">
        <is>
          <t>✓</t>
        </is>
      </c>
    </row>
    <row r="200" ht="20" customHeight="1">
      <c r="A200" s="32" t="inlineStr">
        <is>
          <t>M10</t>
        </is>
      </c>
      <c r="B200" s="33" t="inlineStr">
        <is>
          <t>Blog Cẩm nang Ẩm thực, Bí quyết Nấu ăn &amp; Mở quán F&amp;B</t>
        </is>
      </c>
      <c r="C200" s="34" t="inlineStr">
        <is>
          <t>CORE</t>
        </is>
      </c>
      <c r="D200" s="35" t="inlineStr">
        <is>
          <t>Trang chi tiết</t>
        </is>
      </c>
      <c r="E200" s="35" t="inlineStr">
        <is>
          <t>Hiển thị thông tin tác giả bài viết (chuyên gia Master Chef hoặc ban biên tập DuaxCar)</t>
        </is>
      </c>
      <c r="F200" s="24" t="inlineStr">
        <is>
          <t>✓</t>
        </is>
      </c>
      <c r="G200" s="6" t="inlineStr">
        <is>
          <t>✓</t>
        </is>
      </c>
    </row>
    <row r="201" ht="20" customHeight="1">
      <c r="A201" s="29" t="inlineStr">
        <is>
          <t>M10</t>
        </is>
      </c>
      <c r="B201" s="30" t="inlineStr">
        <is>
          <t>Blog Cẩm nang Ẩm thực, Bí quyết Nấu ăn &amp; Mở quán F&amp;B</t>
        </is>
      </c>
      <c r="C201" s="31" t="inlineStr">
        <is>
          <t>CORE</t>
        </is>
      </c>
      <c r="D201" s="22" t="inlineStr">
        <is>
          <t>Trang chi tiết</t>
        </is>
      </c>
      <c r="E201" s="22" t="inlineStr">
        <is>
          <t>Hiển thị thời gian đọc ước tính (ví dụ: '5 phút đọc') giúp nâng cao trải nghiệm người dùng</t>
        </is>
      </c>
      <c r="F201" s="24" t="inlineStr">
        <is>
          <t>✓</t>
        </is>
      </c>
      <c r="G201" s="6" t="inlineStr">
        <is>
          <t>✓</t>
        </is>
      </c>
    </row>
    <row r="202" ht="20" customHeight="1">
      <c r="A202" s="32" t="inlineStr">
        <is>
          <t>M10</t>
        </is>
      </c>
      <c r="B202" s="33" t="inlineStr">
        <is>
          <t>Blog Cẩm nang Ẩm thực, Bí quyết Nấu ăn &amp; Mở quán F&amp;B</t>
        </is>
      </c>
      <c r="C202" s="34" t="inlineStr">
        <is>
          <t>CORE</t>
        </is>
      </c>
      <c r="D202" s="35" t="inlineStr">
        <is>
          <t>Trang chi tiết</t>
        </is>
      </c>
      <c r="E202" s="35" t="inlineStr">
        <is>
          <t>Trình bày nội dung đẹp mắt với kiểu chữ chuyên nghiệp, khoảng cách dòng thoáng đãng</t>
        </is>
      </c>
      <c r="F202" s="24" t="inlineStr">
        <is>
          <t>✓</t>
        </is>
      </c>
      <c r="G202" s="6" t="inlineStr">
        <is>
          <t>✓</t>
        </is>
      </c>
    </row>
    <row r="203" ht="20" customHeight="1">
      <c r="A203" s="29" t="inlineStr">
        <is>
          <t>M10</t>
        </is>
      </c>
      <c r="B203" s="30" t="inlineStr">
        <is>
          <t>Blog Cẩm nang Ẩm thực, Bí quyết Nấu ăn &amp; Mở quán F&amp;B</t>
        </is>
      </c>
      <c r="C203" s="31" t="inlineStr">
        <is>
          <t>CORE</t>
        </is>
      </c>
      <c r="D203" s="22" t="inlineStr">
        <is>
          <t>Trang chi tiết</t>
        </is>
      </c>
      <c r="E203" s="22" t="inlineStr">
        <is>
          <t>Chèn ảnh minh họa món ăn, bảng định lượng nguyên liệu và video hướng dẫn vào bài viết</t>
        </is>
      </c>
      <c r="F203" s="24" t="inlineStr">
        <is>
          <t>✓</t>
        </is>
      </c>
      <c r="G203" s="6" t="inlineStr">
        <is>
          <t>✓</t>
        </is>
      </c>
    </row>
    <row r="204" ht="20" customHeight="1">
      <c r="A204" s="32" t="inlineStr">
        <is>
          <t>M10</t>
        </is>
      </c>
      <c r="B204" s="33" t="inlineStr">
        <is>
          <t>Blog Cẩm nang Ẩm thực, Bí quyết Nấu ăn &amp; Mở quán F&amp;B</t>
        </is>
      </c>
      <c r="C204" s="34" t="inlineStr">
        <is>
          <t>CORE</t>
        </is>
      </c>
      <c r="D204" s="35" t="inlineStr">
        <is>
          <t>Trang chi tiết</t>
        </is>
      </c>
      <c r="E204" s="35" t="inlineStr">
        <is>
          <t>Khối bài viết liên quan (Related Articles) giúp giữ chân độc giả ở lại website</t>
        </is>
      </c>
      <c r="F204" s="24" t="inlineStr">
        <is>
          <t>✓</t>
        </is>
      </c>
      <c r="G204" s="6" t="inlineStr">
        <is>
          <t>✓</t>
        </is>
      </c>
    </row>
    <row r="205" ht="20" customHeight="1">
      <c r="A205" s="29" t="inlineStr">
        <is>
          <t>M10</t>
        </is>
      </c>
      <c r="B205" s="30" t="inlineStr">
        <is>
          <t>Blog Cẩm nang Ẩm thực, Bí quyết Nấu ăn &amp; Mở quán F&amp;B</t>
        </is>
      </c>
      <c r="C205" s="31" t="inlineStr">
        <is>
          <t>CORE</t>
        </is>
      </c>
      <c r="D205" s="22" t="inlineStr">
        <is>
          <t>Trang chi tiết</t>
        </is>
      </c>
      <c r="E205" s="22" t="inlineStr">
        <is>
          <t>Nút chia sẻ bài viết lên Facebook, Zalo, Twitter và sao chép link</t>
        </is>
      </c>
      <c r="F205" s="24" t="inlineStr">
        <is>
          <t>✓</t>
        </is>
      </c>
      <c r="G205" s="6" t="inlineStr">
        <is>
          <t>✓</t>
        </is>
      </c>
    </row>
    <row r="206" ht="20" customHeight="1">
      <c r="A206" s="32" t="inlineStr">
        <is>
          <t>M10</t>
        </is>
      </c>
      <c r="B206" s="33" t="inlineStr">
        <is>
          <t>Blog Cẩm nang Ẩm thực, Bí quyết Nấu ăn &amp; Mở quán F&amp;B</t>
        </is>
      </c>
      <c r="C206" s="34" t="inlineStr">
        <is>
          <t>CORE</t>
        </is>
      </c>
      <c r="D206" s="35" t="inlineStr">
        <is>
          <t>Trang chi tiết</t>
        </is>
      </c>
      <c r="E206" s="35" t="inlineStr">
        <is>
          <t>Khối CTA giới thiệu khóa học ẩm thực liên quan đặt ở cuối bài viết</t>
        </is>
      </c>
      <c r="F206" s="24" t="inlineStr">
        <is>
          <t>✓</t>
        </is>
      </c>
      <c r="G206" s="6" t="inlineStr">
        <is>
          <t>✓</t>
        </is>
      </c>
    </row>
    <row r="207" ht="20" customHeight="1">
      <c r="A207" s="29" t="inlineStr">
        <is>
          <t>M10</t>
        </is>
      </c>
      <c r="B207" s="30" t="inlineStr">
        <is>
          <t>Blog Cẩm nang Ẩm thực, Bí quyết Nấu ăn &amp; Mở quán F&amp;B</t>
        </is>
      </c>
      <c r="C207" s="31" t="inlineStr">
        <is>
          <t>CORE</t>
        </is>
      </c>
      <c r="D207" s="22" t="inlineStr">
        <is>
          <t>Quản trị bài viết</t>
        </is>
      </c>
      <c r="E207" s="22" t="inlineStr">
        <is>
          <t>Trang quản trị bài viết trong CMS (/admin/tin-tuc): Tạo mới, sửa, xóa bài viết</t>
        </is>
      </c>
      <c r="F207" s="24" t="inlineStr">
        <is>
          <t>✓</t>
        </is>
      </c>
      <c r="G207" s="6" t="inlineStr">
        <is>
          <t>✓</t>
        </is>
      </c>
    </row>
    <row r="208" ht="20" customHeight="1">
      <c r="A208" s="32" t="inlineStr">
        <is>
          <t>M10</t>
        </is>
      </c>
      <c r="B208" s="33" t="inlineStr">
        <is>
          <t>Blog Cẩm nang Ẩm thực, Bí quyết Nấu ăn &amp; Mở quán F&amp;B</t>
        </is>
      </c>
      <c r="C208" s="34" t="inlineStr">
        <is>
          <t>CORE</t>
        </is>
      </c>
      <c r="D208" s="35" t="inlineStr">
        <is>
          <t>Quản trị bài viết</t>
        </is>
      </c>
      <c r="E208" s="35" t="inlineStr">
        <is>
          <t>Trình soạn thảo văn bản phong phú (Rich Text Editor) trực quan, dễ dùng</t>
        </is>
      </c>
      <c r="F208" s="24" t="inlineStr">
        <is>
          <t>✓</t>
        </is>
      </c>
      <c r="G208" s="6" t="inlineStr">
        <is>
          <t>✓</t>
        </is>
      </c>
    </row>
    <row r="209" ht="20" customHeight="1">
      <c r="A209" s="29" t="inlineStr">
        <is>
          <t>M10</t>
        </is>
      </c>
      <c r="B209" s="30" t="inlineStr">
        <is>
          <t>Blog Cẩm nang Ẩm thực, Bí quyết Nấu ăn &amp; Mở quán F&amp;B</t>
        </is>
      </c>
      <c r="C209" s="31" t="inlineStr">
        <is>
          <t>CORE</t>
        </is>
      </c>
      <c r="D209" s="22" t="inlineStr">
        <is>
          <t>Quản trị bài viết</t>
        </is>
      </c>
      <c r="E209" s="22" t="inlineStr">
        <is>
          <t>Định dạng tiêu đề H2, H3, bôi đậm, in nghiêng, gạch đầu dòng, căn lề, trích dẫn</t>
        </is>
      </c>
      <c r="F209" s="24" t="inlineStr">
        <is>
          <t>✓</t>
        </is>
      </c>
      <c r="G209" s="6" t="inlineStr">
        <is>
          <t>✓</t>
        </is>
      </c>
    </row>
    <row r="210" ht="20" customHeight="1">
      <c r="A210" s="32" t="inlineStr">
        <is>
          <t>M10</t>
        </is>
      </c>
      <c r="B210" s="33" t="inlineStr">
        <is>
          <t>Blog Cẩm nang Ẩm thực, Bí quyết Nấu ăn &amp; Mở quán F&amp;B</t>
        </is>
      </c>
      <c r="C210" s="34" t="inlineStr">
        <is>
          <t>CORE</t>
        </is>
      </c>
      <c r="D210" s="35" t="inlineStr">
        <is>
          <t>Quản trị bài viết</t>
        </is>
      </c>
      <c r="E210" s="35" t="inlineStr">
        <is>
          <t>Chèn hình ảnh trực tiếp từ thư viện Media vào vị trí con trỏ chuột trong bài</t>
        </is>
      </c>
      <c r="F210" s="24" t="inlineStr">
        <is>
          <t>✓</t>
        </is>
      </c>
      <c r="G210" s="6" t="inlineStr">
        <is>
          <t>✓</t>
        </is>
      </c>
    </row>
    <row r="211" ht="20" customHeight="1">
      <c r="A211" s="29" t="inlineStr">
        <is>
          <t>M10</t>
        </is>
      </c>
      <c r="B211" s="30" t="inlineStr">
        <is>
          <t>Blog Cẩm nang Ẩm thực, Bí quyết Nấu ăn &amp; Mở quán F&amp;B</t>
        </is>
      </c>
      <c r="C211" s="31" t="inlineStr">
        <is>
          <t>CORE</t>
        </is>
      </c>
      <c r="D211" s="22" t="inlineStr">
        <is>
          <t>Quản trị bài viết</t>
        </is>
      </c>
      <c r="E211" s="22" t="inlineStr">
        <is>
          <t>Tùy biến Slug URL thân thiện, trích đoạn ngắn Excerpt và cấu hình bài viết nổi bật</t>
        </is>
      </c>
      <c r="F211" s="24" t="inlineStr">
        <is>
          <t>✓</t>
        </is>
      </c>
      <c r="G211" s="6" t="inlineStr">
        <is>
          <t>✓</t>
        </is>
      </c>
    </row>
    <row r="212" ht="20" customHeight="1">
      <c r="A212" s="32" t="inlineStr">
        <is>
          <t>M10</t>
        </is>
      </c>
      <c r="B212" s="33" t="inlineStr">
        <is>
          <t>Blog Cẩm nang Ẩm thực, Bí quyết Nấu ăn &amp; Mở quán F&amp;B</t>
        </is>
      </c>
      <c r="C212" s="34" t="inlineStr">
        <is>
          <t>CORE</t>
        </is>
      </c>
      <c r="D212" s="35" t="inlineStr">
        <is>
          <t>SEO Bài viết</t>
        </is>
      </c>
      <c r="E212" s="35" t="inlineStr">
        <is>
          <t>Cấu trúc dữ liệu có cấu trúc Article Schema theo tiêu chuẩn Google cho bài viết</t>
        </is>
      </c>
      <c r="F212" s="24" t="inlineStr">
        <is>
          <t>✓</t>
        </is>
      </c>
      <c r="G212" s="6" t="inlineStr">
        <is>
          <t>✓</t>
        </is>
      </c>
    </row>
    <row r="213" ht="20" customHeight="1">
      <c r="A213" s="29" t="inlineStr">
        <is>
          <t>M10</t>
        </is>
      </c>
      <c r="B213" s="30" t="inlineStr">
        <is>
          <t>Blog Cẩm nang Ẩm thực, Bí quyết Nấu ăn &amp; Mở quán F&amp;B</t>
        </is>
      </c>
      <c r="C213" s="31" t="inlineStr">
        <is>
          <t>CORE</t>
        </is>
      </c>
      <c r="D213" s="22" t="inlineStr">
        <is>
          <t>SEO Bài viết</t>
        </is>
      </c>
      <c r="E213" s="22" t="inlineStr">
        <is>
          <t>Tự động tạo thẻ OpenGraph Title, Description, Image phục vụ chia sẻ bài viết mạng xã hội</t>
        </is>
      </c>
      <c r="F213" s="24" t="inlineStr">
        <is>
          <t>✓</t>
        </is>
      </c>
      <c r="G213" s="6" t="inlineStr">
        <is>
          <t>✓</t>
        </is>
      </c>
    </row>
    <row r="214" ht="20" customHeight="1">
      <c r="A214" s="32" t="inlineStr">
        <is>
          <t>M11</t>
        </is>
      </c>
      <c r="B214" s="36" t="inlineStr">
        <is>
          <t>SEO Chuyên sâu Ngành Đào tạo Ẩm thực &amp; Analytics Tracking</t>
        </is>
      </c>
      <c r="C214" s="37" t="inlineStr">
        <is>
          <t>ADD-ON FULL</t>
        </is>
      </c>
      <c r="D214" s="35" t="inlineStr">
        <is>
          <t>SEO On-page</t>
        </is>
      </c>
      <c r="E214" s="35" t="inlineStr">
        <is>
          <t>Tự động sinh Meta Tags đầy đủ cho toàn bộ trang: Title, Description, Canonical URL</t>
        </is>
      </c>
      <c r="F214" s="27" t="inlineStr">
        <is>
          <t>—</t>
        </is>
      </c>
      <c r="G214" s="6" t="inlineStr">
        <is>
          <t>✓</t>
        </is>
      </c>
    </row>
    <row r="215" ht="20" customHeight="1">
      <c r="A215" s="29" t="inlineStr">
        <is>
          <t>M11</t>
        </is>
      </c>
      <c r="B215" s="38" t="inlineStr">
        <is>
          <t>SEO Chuyên sâu Ngành Đào tạo Ẩm thực &amp; Analytics Tracking</t>
        </is>
      </c>
      <c r="C215" s="39" t="inlineStr">
        <is>
          <t>ADD-ON FULL</t>
        </is>
      </c>
      <c r="D215" s="22" t="inlineStr">
        <is>
          <t>SEO On-page</t>
        </is>
      </c>
      <c r="E215" s="22" t="inlineStr">
        <is>
          <t>Tối ưu hóa tiêu đề và mô tả theo bộ từ khóa ẩm thực truyền thống &amp; học nghề mở quán</t>
        </is>
      </c>
      <c r="F215" s="27" t="inlineStr">
        <is>
          <t>—</t>
        </is>
      </c>
      <c r="G215" s="6" t="inlineStr">
        <is>
          <t>✓</t>
        </is>
      </c>
    </row>
    <row r="216" ht="20" customHeight="1">
      <c r="A216" s="32" t="inlineStr">
        <is>
          <t>M11</t>
        </is>
      </c>
      <c r="B216" s="36" t="inlineStr">
        <is>
          <t>SEO Chuyên sâu Ngành Đào tạo Ẩm thực &amp; Analytics Tracking</t>
        </is>
      </c>
      <c r="C216" s="37" t="inlineStr">
        <is>
          <t>ADD-ON FULL</t>
        </is>
      </c>
      <c r="D216" s="35" t="inlineStr">
        <is>
          <t>SEO Schema</t>
        </is>
      </c>
      <c r="E216" s="35" t="inlineStr">
        <is>
          <t>Cấu hình Course Schema cho tất cả các trang khóa học (tên, học phí, giảng viên, đơn vị)</t>
        </is>
      </c>
      <c r="F216" s="27" t="inlineStr">
        <is>
          <t>—</t>
        </is>
      </c>
      <c r="G216" s="6" t="inlineStr">
        <is>
          <t>✓</t>
        </is>
      </c>
    </row>
    <row r="217" ht="20" customHeight="1">
      <c r="A217" s="29" t="inlineStr">
        <is>
          <t>M11</t>
        </is>
      </c>
      <c r="B217" s="38" t="inlineStr">
        <is>
          <t>SEO Chuyên sâu Ngành Đào tạo Ẩm thực &amp; Analytics Tracking</t>
        </is>
      </c>
      <c r="C217" s="39" t="inlineStr">
        <is>
          <t>ADD-ON FULL</t>
        </is>
      </c>
      <c r="D217" s="22" t="inlineStr">
        <is>
          <t>SEO Schema</t>
        </is>
      </c>
      <c r="E217" s="22" t="inlineStr">
        <is>
          <t>Cấu hình EducationalOrganization Schema định danh DuaxCar là đơn vị đào tạo uy tín</t>
        </is>
      </c>
      <c r="F217" s="27" t="inlineStr">
        <is>
          <t>—</t>
        </is>
      </c>
      <c r="G217" s="6" t="inlineStr">
        <is>
          <t>✓</t>
        </is>
      </c>
    </row>
    <row r="218" ht="20" customHeight="1">
      <c r="A218" s="32" t="inlineStr">
        <is>
          <t>M11</t>
        </is>
      </c>
      <c r="B218" s="36" t="inlineStr">
        <is>
          <t>SEO Chuyên sâu Ngành Đào tạo Ẩm thực &amp; Analytics Tracking</t>
        </is>
      </c>
      <c r="C218" s="37" t="inlineStr">
        <is>
          <t>ADD-ON FULL</t>
        </is>
      </c>
      <c r="D218" s="35" t="inlineStr">
        <is>
          <t>SEO Schema</t>
        </is>
      </c>
      <c r="E218" s="35" t="inlineStr">
        <is>
          <t>Cấu hình Person Schema cho hồ sơ Master Chef và đội ngũ nghệ nhân ẩm thực</t>
        </is>
      </c>
      <c r="F218" s="27" t="inlineStr">
        <is>
          <t>—</t>
        </is>
      </c>
      <c r="G218" s="6" t="inlineStr">
        <is>
          <t>✓</t>
        </is>
      </c>
    </row>
    <row r="219" ht="20" customHeight="1">
      <c r="A219" s="29" t="inlineStr">
        <is>
          <t>M11</t>
        </is>
      </c>
      <c r="B219" s="38" t="inlineStr">
        <is>
          <t>SEO Chuyên sâu Ngành Đào tạo Ẩm thực &amp; Analytics Tracking</t>
        </is>
      </c>
      <c r="C219" s="39" t="inlineStr">
        <is>
          <t>ADD-ON FULL</t>
        </is>
      </c>
      <c r="D219" s="22" t="inlineStr">
        <is>
          <t>SEO Schema</t>
        </is>
      </c>
      <c r="E219" s="22" t="inlineStr">
        <is>
          <t>Cấu hình Article Schema và FAQPage Schema cho trang tin tức và hỏi đáp</t>
        </is>
      </c>
      <c r="F219" s="27" t="inlineStr">
        <is>
          <t>—</t>
        </is>
      </c>
      <c r="G219" s="6" t="inlineStr">
        <is>
          <t>✓</t>
        </is>
      </c>
    </row>
    <row r="220" ht="20" customHeight="1">
      <c r="A220" s="32" t="inlineStr">
        <is>
          <t>M11</t>
        </is>
      </c>
      <c r="B220" s="36" t="inlineStr">
        <is>
          <t>SEO Chuyên sâu Ngành Đào tạo Ẩm thực &amp; Analytics Tracking</t>
        </is>
      </c>
      <c r="C220" s="37" t="inlineStr">
        <is>
          <t>ADD-ON FULL</t>
        </is>
      </c>
      <c r="D220" s="35" t="inlineStr">
        <is>
          <t>SEO Schema</t>
        </is>
      </c>
      <c r="E220" s="35" t="inlineStr">
        <is>
          <t>Cấu hình BreadcrumbList Schema giúp Google hiển thị cây điều hướng trên kết quả tìm kiếm</t>
        </is>
      </c>
      <c r="F220" s="27" t="inlineStr">
        <is>
          <t>—</t>
        </is>
      </c>
      <c r="G220" s="6" t="inlineStr">
        <is>
          <t>✓</t>
        </is>
      </c>
    </row>
    <row r="221" ht="20" customHeight="1">
      <c r="A221" s="29" t="inlineStr">
        <is>
          <t>M11</t>
        </is>
      </c>
      <c r="B221" s="38" t="inlineStr">
        <is>
          <t>SEO Chuyên sâu Ngành Đào tạo Ẩm thực &amp; Analytics Tracking</t>
        </is>
      </c>
      <c r="C221" s="39" t="inlineStr">
        <is>
          <t>ADD-ON FULL</t>
        </is>
      </c>
      <c r="D221" s="22" t="inlineStr">
        <is>
          <t>SEO Technical</t>
        </is>
      </c>
      <c r="E221" s="22" t="inlineStr">
        <is>
          <t>Tự động tạo sitemap.xml động cập nhật theo thời gian thực khi có khóa học/bài viết mới</t>
        </is>
      </c>
      <c r="F221" s="27" t="inlineStr">
        <is>
          <t>—</t>
        </is>
      </c>
      <c r="G221" s="6" t="inlineStr">
        <is>
          <t>✓</t>
        </is>
      </c>
    </row>
    <row r="222" ht="20" customHeight="1">
      <c r="A222" s="32" t="inlineStr">
        <is>
          <t>M11</t>
        </is>
      </c>
      <c r="B222" s="36" t="inlineStr">
        <is>
          <t>SEO Chuyên sâu Ngành Đào tạo Ẩm thực &amp; Analytics Tracking</t>
        </is>
      </c>
      <c r="C222" s="37" t="inlineStr">
        <is>
          <t>ADD-ON FULL</t>
        </is>
      </c>
      <c r="D222" s="35" t="inlineStr">
        <is>
          <t>SEO Technical</t>
        </is>
      </c>
      <c r="E222" s="35" t="inlineStr">
        <is>
          <t>Cấu hình chuẩn file robots.txt chỉ dẫn công cụ tìm kiếm thu thập dữ liệu hiệu quả</t>
        </is>
      </c>
      <c r="F222" s="27" t="inlineStr">
        <is>
          <t>—</t>
        </is>
      </c>
      <c r="G222" s="6" t="inlineStr">
        <is>
          <t>✓</t>
        </is>
      </c>
    </row>
    <row r="223" ht="20" customHeight="1">
      <c r="A223" s="29" t="inlineStr">
        <is>
          <t>M11</t>
        </is>
      </c>
      <c r="B223" s="38" t="inlineStr">
        <is>
          <t>SEO Chuyên sâu Ngành Đào tạo Ẩm thực &amp; Analytics Tracking</t>
        </is>
      </c>
      <c r="C223" s="39" t="inlineStr">
        <is>
          <t>ADD-ON FULL</t>
        </is>
      </c>
      <c r="D223" s="22" t="inlineStr">
        <is>
          <t>SEO Technical</t>
        </is>
      </c>
      <c r="E223" s="22" t="inlineStr">
        <is>
          <t>Cấu hình thẻ Canonical tránh trùng lặp nội dung giữa các phiên bản URL</t>
        </is>
      </c>
      <c r="F223" s="27" t="inlineStr">
        <is>
          <t>—</t>
        </is>
      </c>
      <c r="G223" s="6" t="inlineStr">
        <is>
          <t>✓</t>
        </is>
      </c>
    </row>
    <row r="224" ht="20" customHeight="1">
      <c r="A224" s="32" t="inlineStr">
        <is>
          <t>M11</t>
        </is>
      </c>
      <c r="B224" s="36" t="inlineStr">
        <is>
          <t>SEO Chuyên sâu Ngành Đào tạo Ẩm thực &amp; Analytics Tracking</t>
        </is>
      </c>
      <c r="C224" s="37" t="inlineStr">
        <is>
          <t>ADD-ON FULL</t>
        </is>
      </c>
      <c r="D224" s="35" t="inlineStr">
        <is>
          <t>Social Share</t>
        </is>
      </c>
      <c r="E224" s="35" t="inlineStr">
        <is>
          <t>Tối ưu Open Graph tags &amp; Twitter Cards hiển thị thumbnail đẹp mắt khi share link</t>
        </is>
      </c>
      <c r="F224" s="27" t="inlineStr">
        <is>
          <t>—</t>
        </is>
      </c>
      <c r="G224" s="6" t="inlineStr">
        <is>
          <t>✓</t>
        </is>
      </c>
    </row>
    <row r="225" ht="20" customHeight="1">
      <c r="A225" s="29" t="inlineStr">
        <is>
          <t>M11</t>
        </is>
      </c>
      <c r="B225" s="38" t="inlineStr">
        <is>
          <t>SEO Chuyên sâu Ngành Đào tạo Ẩm thực &amp; Analytics Tracking</t>
        </is>
      </c>
      <c r="C225" s="39" t="inlineStr">
        <is>
          <t>ADD-ON FULL</t>
        </is>
      </c>
      <c r="D225" s="22" t="inlineStr">
        <is>
          <t>Analytics</t>
        </is>
      </c>
      <c r="E225" s="22" t="inlineStr">
        <is>
          <t>Tích hợp Google Analytics 4 (GA4) theo dõi chi tiết lưu lượng truy cập và hành vi học viên</t>
        </is>
      </c>
      <c r="F225" s="27" t="inlineStr">
        <is>
          <t>—</t>
        </is>
      </c>
      <c r="G225" s="6" t="inlineStr">
        <is>
          <t>✓</t>
        </is>
      </c>
    </row>
    <row r="226" ht="20" customHeight="1">
      <c r="A226" s="32" t="inlineStr">
        <is>
          <t>M11</t>
        </is>
      </c>
      <c r="B226" s="36" t="inlineStr">
        <is>
          <t>SEO Chuyên sâu Ngành Đào tạo Ẩm thực &amp; Analytics Tracking</t>
        </is>
      </c>
      <c r="C226" s="37" t="inlineStr">
        <is>
          <t>ADD-ON FULL</t>
        </is>
      </c>
      <c r="D226" s="35" t="inlineStr">
        <is>
          <t>Analytics</t>
        </is>
      </c>
      <c r="E226" s="35" t="inlineStr">
        <is>
          <t>Tích hợp Google Tag Manager (GTM) quản lý tập trung toàn bộ mã theo dõi tiếp thị</t>
        </is>
      </c>
      <c r="F226" s="27" t="inlineStr">
        <is>
          <t>—</t>
        </is>
      </c>
      <c r="G226" s="6" t="inlineStr">
        <is>
          <t>✓</t>
        </is>
      </c>
    </row>
    <row r="227" ht="20" customHeight="1">
      <c r="A227" s="29" t="inlineStr">
        <is>
          <t>M11</t>
        </is>
      </c>
      <c r="B227" s="38" t="inlineStr">
        <is>
          <t>SEO Chuyên sâu Ngành Đào tạo Ẩm thực &amp; Analytics Tracking</t>
        </is>
      </c>
      <c r="C227" s="39" t="inlineStr">
        <is>
          <t>ADD-ON FULL</t>
        </is>
      </c>
      <c r="D227" s="22" t="inlineStr">
        <is>
          <t>Tracking chuyển đổi</t>
        </is>
      </c>
      <c r="E227" s="22" t="inlineStr">
        <is>
          <t>Cài đặt theo dõi sự kiện chuyển đổi Xem Khóa Học (view_course_detail)</t>
        </is>
      </c>
      <c r="F227" s="27" t="inlineStr">
        <is>
          <t>—</t>
        </is>
      </c>
      <c r="G227" s="6" t="inlineStr">
        <is>
          <t>✓</t>
        </is>
      </c>
    </row>
    <row r="228" ht="20" customHeight="1">
      <c r="A228" s="32" t="inlineStr">
        <is>
          <t>M11</t>
        </is>
      </c>
      <c r="B228" s="36" t="inlineStr">
        <is>
          <t>SEO Chuyên sâu Ngành Đào tạo Ẩm thực &amp; Analytics Tracking</t>
        </is>
      </c>
      <c r="C228" s="37" t="inlineStr">
        <is>
          <t>ADD-ON FULL</t>
        </is>
      </c>
      <c r="D228" s="35" t="inlineStr">
        <is>
          <t>Tracking chuyển đổi</t>
        </is>
      </c>
      <c r="E228" s="35" t="inlineStr">
        <is>
          <t>Cài đặt theo dõi sự kiện Bắt đầu điền form đăng ký (begin_course_registration)</t>
        </is>
      </c>
      <c r="F228" s="27" t="inlineStr">
        <is>
          <t>—</t>
        </is>
      </c>
      <c r="G228" s="6" t="inlineStr">
        <is>
          <t>✓</t>
        </is>
      </c>
    </row>
    <row r="229" ht="20" customHeight="1">
      <c r="A229" s="29" t="inlineStr">
        <is>
          <t>M11</t>
        </is>
      </c>
      <c r="B229" s="38" t="inlineStr">
        <is>
          <t>SEO Chuyên sâu Ngành Đào tạo Ẩm thực &amp; Analytics Tracking</t>
        </is>
      </c>
      <c r="C229" s="39" t="inlineStr">
        <is>
          <t>ADD-ON FULL</t>
        </is>
      </c>
      <c r="D229" s="22" t="inlineStr">
        <is>
          <t>Tracking chuyển đổi</t>
        </is>
      </c>
      <c r="E229" s="22" t="inlineStr">
        <is>
          <t>Cài đặt theo dõi sự kiện Đăng ký khóa học thành công (complete_registration)</t>
        </is>
      </c>
      <c r="F229" s="27" t="inlineStr">
        <is>
          <t>—</t>
        </is>
      </c>
      <c r="G229" s="6" t="inlineStr">
        <is>
          <t>✓</t>
        </is>
      </c>
    </row>
    <row r="230" ht="20" customHeight="1">
      <c r="A230" s="32" t="inlineStr">
        <is>
          <t>M11</t>
        </is>
      </c>
      <c r="B230" s="36" t="inlineStr">
        <is>
          <t>SEO Chuyên sâu Ngành Đào tạo Ẩm thực &amp; Analytics Tracking</t>
        </is>
      </c>
      <c r="C230" s="37" t="inlineStr">
        <is>
          <t>ADD-ON FULL</t>
        </is>
      </c>
      <c r="D230" s="35" t="inlineStr">
        <is>
          <t>Tracking chuyển đổi</t>
        </is>
      </c>
      <c r="E230" s="35" t="inlineStr">
        <is>
          <t>Cài đặt theo dõi sự kiện Nhấp gọi Hotline và Nhấp chat Zalo OA (click_to_contact)</t>
        </is>
      </c>
      <c r="F230" s="27" t="inlineStr">
        <is>
          <t>—</t>
        </is>
      </c>
      <c r="G230" s="6" t="inlineStr">
        <is>
          <t>✓</t>
        </is>
      </c>
    </row>
    <row r="231" ht="20" customHeight="1">
      <c r="A231" s="29" t="inlineStr">
        <is>
          <t>M11</t>
        </is>
      </c>
      <c r="B231" s="38" t="inlineStr">
        <is>
          <t>SEO Chuyên sâu Ngành Đào tạo Ẩm thực &amp; Analytics Tracking</t>
        </is>
      </c>
      <c r="C231" s="39" t="inlineStr">
        <is>
          <t>ADD-ON FULL</t>
        </is>
      </c>
      <c r="D231" s="22" t="inlineStr">
        <is>
          <t>Advertising Pixel</t>
        </is>
      </c>
      <c r="E231" s="22" t="inlineStr">
        <is>
          <t>Tích hợp Meta Pixel (Facebook Pixel) tối ưu chiến dịch chạy quảng cáo tuyển sinh học viên</t>
        </is>
      </c>
      <c r="F231" s="27" t="inlineStr">
        <is>
          <t>—</t>
        </is>
      </c>
      <c r="G231" s="6" t="inlineStr">
        <is>
          <t>✓</t>
        </is>
      </c>
    </row>
    <row r="232" ht="20" customHeight="1">
      <c r="A232" s="32" t="inlineStr">
        <is>
          <t>M11</t>
        </is>
      </c>
      <c r="B232" s="36" t="inlineStr">
        <is>
          <t>SEO Chuyên sâu Ngành Đào tạo Ẩm thực &amp; Analytics Tracking</t>
        </is>
      </c>
      <c r="C232" s="37" t="inlineStr">
        <is>
          <t>ADD-ON FULL</t>
        </is>
      </c>
      <c r="D232" s="35" t="inlineStr">
        <is>
          <t>Advertising Pixel</t>
        </is>
      </c>
      <c r="E232" s="35" t="inlineStr">
        <is>
          <t>Cấu hình Custom Conversion trên Facebook Events Manager đo lường chi phí trên mỗi lead</t>
        </is>
      </c>
      <c r="F232" s="27" t="inlineStr">
        <is>
          <t>—</t>
        </is>
      </c>
      <c r="G232" s="6" t="inlineStr">
        <is>
          <t>✓</t>
        </is>
      </c>
    </row>
    <row r="233" ht="20" customHeight="1">
      <c r="A233" s="29" t="inlineStr">
        <is>
          <t>M11</t>
        </is>
      </c>
      <c r="B233" s="38" t="inlineStr">
        <is>
          <t>SEO Chuyên sâu Ngành Đào tạo Ẩm thực &amp; Analytics Tracking</t>
        </is>
      </c>
      <c r="C233" s="39" t="inlineStr">
        <is>
          <t>ADD-ON FULL</t>
        </is>
      </c>
      <c r="D233" s="22" t="inlineStr">
        <is>
          <t>Advertising Pixel</t>
        </is>
      </c>
      <c r="E233" s="22" t="inlineStr">
        <is>
          <t>Tích hợp TikTok Pixel (nếu trung tâm chạy quảng cáo video nấu ăn trên TikTok)</t>
        </is>
      </c>
      <c r="F233" s="27" t="inlineStr">
        <is>
          <t>—</t>
        </is>
      </c>
      <c r="G233" s="6" t="inlineStr">
        <is>
          <t>✓</t>
        </is>
      </c>
    </row>
    <row r="234" ht="20" customHeight="1">
      <c r="A234" s="32" t="inlineStr">
        <is>
          <t>M12</t>
        </is>
      </c>
      <c r="B234" s="36" t="inlineStr">
        <is>
          <t>Hạ tầng Cloud Cao cấp, Bảo mật Database &amp; Vận hành</t>
        </is>
      </c>
      <c r="C234" s="37" t="inlineStr">
        <is>
          <t>ADD-ON FULL</t>
        </is>
      </c>
      <c r="D234" s="35" t="inlineStr">
        <is>
          <t>Hạ tầng Cloud</t>
        </is>
      </c>
      <c r="E234" s="35" t="inlineStr">
        <is>
          <t>Triển khai hệ thống trên nền tảng Vercel Edge Serverless / Cloud Hosting tốc độ cao</t>
        </is>
      </c>
      <c r="F234" s="27" t="inlineStr">
        <is>
          <t>—</t>
        </is>
      </c>
      <c r="G234" s="6" t="inlineStr">
        <is>
          <t>✓</t>
        </is>
      </c>
    </row>
    <row r="235" ht="20" customHeight="1">
      <c r="A235" s="29" t="inlineStr">
        <is>
          <t>M12</t>
        </is>
      </c>
      <c r="B235" s="38" t="inlineStr">
        <is>
          <t>Hạ tầng Cloud Cao cấp, Bảo mật Database &amp; Vận hành</t>
        </is>
      </c>
      <c r="C235" s="39" t="inlineStr">
        <is>
          <t>ADD-ON FULL</t>
        </is>
      </c>
      <c r="D235" s="22" t="inlineStr">
        <is>
          <t>Hạ tầng Cloud</t>
        </is>
      </c>
      <c r="E235" s="22" t="inlineStr">
        <is>
          <t>Cấu hình môi trường Production và Staging riêng biệt phục vụ thử nghiệm tính năng</t>
        </is>
      </c>
      <c r="F235" s="27" t="inlineStr">
        <is>
          <t>—</t>
        </is>
      </c>
      <c r="G235" s="6" t="inlineStr">
        <is>
          <t>✓</t>
        </is>
      </c>
    </row>
    <row r="236" ht="20" customHeight="1">
      <c r="A236" s="32" t="inlineStr">
        <is>
          <t>M12</t>
        </is>
      </c>
      <c r="B236" s="36" t="inlineStr">
        <is>
          <t>Hạ tầng Cloud Cao cấp, Bảo mật Database &amp; Vận hành</t>
        </is>
      </c>
      <c r="C236" s="37" t="inlineStr">
        <is>
          <t>ADD-ON FULL</t>
        </is>
      </c>
      <c r="D236" s="35" t="inlineStr">
        <is>
          <t>Cơ sở dữ liệu</t>
        </is>
      </c>
      <c r="E236" s="35" t="inlineStr">
        <is>
          <t>Cơ sở dữ liệu Supabase Managed PostgreSQL hiệu năng cao, chịu tải lớn</t>
        </is>
      </c>
      <c r="F236" s="27" t="inlineStr">
        <is>
          <t>—</t>
        </is>
      </c>
      <c r="G236" s="6" t="inlineStr">
        <is>
          <t>✓</t>
        </is>
      </c>
    </row>
    <row r="237" ht="20" customHeight="1">
      <c r="A237" s="29" t="inlineStr">
        <is>
          <t>M12</t>
        </is>
      </c>
      <c r="B237" s="38" t="inlineStr">
        <is>
          <t>Hạ tầng Cloud Cao cấp, Bảo mật Database &amp; Vận hành</t>
        </is>
      </c>
      <c r="C237" s="39" t="inlineStr">
        <is>
          <t>ADD-ON FULL</t>
        </is>
      </c>
      <c r="D237" s="22" t="inlineStr">
        <is>
          <t>Cơ sở dữ liệu</t>
        </is>
      </c>
      <c r="E237" s="22" t="inlineStr">
        <is>
          <t>Cơ chế Ping Keep-Alive tự động (/api/keep-alive) giữ kết nối database 24/7 không bị idle</t>
        </is>
      </c>
      <c r="F237" s="27" t="inlineStr">
        <is>
          <t>—</t>
        </is>
      </c>
      <c r="G237" s="6" t="inlineStr">
        <is>
          <t>✓</t>
        </is>
      </c>
    </row>
    <row r="238" ht="20" customHeight="1">
      <c r="A238" s="32" t="inlineStr">
        <is>
          <t>M12</t>
        </is>
      </c>
      <c r="B238" s="36" t="inlineStr">
        <is>
          <t>Hạ tầng Cloud Cao cấp, Bảo mật Database &amp; Vận hành</t>
        </is>
      </c>
      <c r="C238" s="37" t="inlineStr">
        <is>
          <t>ADD-ON FULL</t>
        </is>
      </c>
      <c r="D238" s="35" t="inlineStr">
        <is>
          <t>Cơ sở dữ liệu</t>
        </is>
      </c>
      <c r="E238" s="35" t="inlineStr">
        <is>
          <t>Tự động sao lưu dữ liệu (Daily Database Backup) định kỳ bảo đảm an toàn dữ liệu</t>
        </is>
      </c>
      <c r="F238" s="27" t="inlineStr">
        <is>
          <t>—</t>
        </is>
      </c>
      <c r="G238" s="6" t="inlineStr">
        <is>
          <t>✓</t>
        </is>
      </c>
    </row>
    <row r="239" ht="20" customHeight="1">
      <c r="A239" s="29" t="inlineStr">
        <is>
          <t>M12</t>
        </is>
      </c>
      <c r="B239" s="38" t="inlineStr">
        <is>
          <t>Hạ tầng Cloud Cao cấp, Bảo mật Database &amp; Vận hành</t>
        </is>
      </c>
      <c r="C239" s="39" t="inlineStr">
        <is>
          <t>ADD-ON FULL</t>
        </is>
      </c>
      <c r="D239" s="22" t="inlineStr">
        <is>
          <t>Bảo mật dữ liệu</t>
        </is>
      </c>
      <c r="E239" s="22" t="inlineStr">
        <is>
          <t>Kích hoạt hệ thống Row Level Security (RLS) trên toàn bộ các bảng trong database</t>
        </is>
      </c>
      <c r="F239" s="27" t="inlineStr">
        <is>
          <t>—</t>
        </is>
      </c>
      <c r="G239" s="6" t="inlineStr">
        <is>
          <t>✓</t>
        </is>
      </c>
    </row>
    <row r="240" ht="20" customHeight="1">
      <c r="A240" s="32" t="inlineStr">
        <is>
          <t>M12</t>
        </is>
      </c>
      <c r="B240" s="36" t="inlineStr">
        <is>
          <t>Hạ tầng Cloud Cao cấp, Bảo mật Database &amp; Vận hành</t>
        </is>
      </c>
      <c r="C240" s="37" t="inlineStr">
        <is>
          <t>ADD-ON FULL</t>
        </is>
      </c>
      <c r="D240" s="35" t="inlineStr">
        <is>
          <t>Bảo mật dữ liệu</t>
        </is>
      </c>
      <c r="E240" s="35" t="inlineStr">
        <is>
          <t>Bảo vệ thông tin cá nhân của học viên, ngăn chặn truy cập trái phép từ bên ngoài</t>
        </is>
      </c>
      <c r="F240" s="27" t="inlineStr">
        <is>
          <t>—</t>
        </is>
      </c>
      <c r="G240" s="6" t="inlineStr">
        <is>
          <t>✓</t>
        </is>
      </c>
    </row>
    <row r="241" ht="20" customHeight="1">
      <c r="A241" s="29" t="inlineStr">
        <is>
          <t>M12</t>
        </is>
      </c>
      <c r="B241" s="38" t="inlineStr">
        <is>
          <t>Hạ tầng Cloud Cao cấp, Bảo mật Database &amp; Vận hành</t>
        </is>
      </c>
      <c r="C241" s="39" t="inlineStr">
        <is>
          <t>ADD-ON FULL</t>
        </is>
      </c>
      <c r="D241" s="22" t="inlineStr">
        <is>
          <t>Bảo mật xác thực</t>
        </is>
      </c>
      <c r="E241" s="22" t="inlineStr">
        <is>
          <t>Hệ thống xác thực quản trị viên qua Supabase Auth với session cookie mã hóa an toàn</t>
        </is>
      </c>
      <c r="F241" s="27" t="inlineStr">
        <is>
          <t>—</t>
        </is>
      </c>
      <c r="G241" s="6" t="inlineStr">
        <is>
          <t>✓</t>
        </is>
      </c>
    </row>
    <row r="242" ht="20" customHeight="1">
      <c r="A242" s="32" t="inlineStr">
        <is>
          <t>M12</t>
        </is>
      </c>
      <c r="B242" s="36" t="inlineStr">
        <is>
          <t>Hạ tầng Cloud Cao cấp, Bảo mật Database &amp; Vận hành</t>
        </is>
      </c>
      <c r="C242" s="37" t="inlineStr">
        <is>
          <t>ADD-ON FULL</t>
        </is>
      </c>
      <c r="D242" s="35" t="inlineStr">
        <is>
          <t>Bảo mật ứng dụng</t>
        </is>
      </c>
      <c r="E242" s="35" t="inlineStr">
        <is>
          <t>Chống tấn công CSRF, XSS và lọc dữ liệu SQL Injection tự động bằng ORM</t>
        </is>
      </c>
      <c r="F242" s="27" t="inlineStr">
        <is>
          <t>—</t>
        </is>
      </c>
      <c r="G242" s="6" t="inlineStr">
        <is>
          <t>✓</t>
        </is>
      </c>
    </row>
    <row r="243" ht="20" customHeight="1">
      <c r="A243" s="29" t="inlineStr">
        <is>
          <t>M12</t>
        </is>
      </c>
      <c r="B243" s="38" t="inlineStr">
        <is>
          <t>Hạ tầng Cloud Cao cấp, Bảo mật Database &amp; Vận hành</t>
        </is>
      </c>
      <c r="C243" s="39" t="inlineStr">
        <is>
          <t>ADD-ON FULL</t>
        </is>
      </c>
      <c r="D243" s="22" t="inlineStr">
        <is>
          <t>Bảo mật ứng dụng</t>
        </is>
      </c>
      <c r="E243" s="22" t="inlineStr">
        <is>
          <t>Ẩn biến môi trường bảo mật (.env.production) chứa API keys và thông tin kết nối DB</t>
        </is>
      </c>
      <c r="F243" s="27" t="inlineStr">
        <is>
          <t>—</t>
        </is>
      </c>
      <c r="G243" s="6" t="inlineStr">
        <is>
          <t>✓</t>
        </is>
      </c>
    </row>
    <row r="244" ht="20" customHeight="1">
      <c r="A244" s="32" t="inlineStr">
        <is>
          <t>M12</t>
        </is>
      </c>
      <c r="B244" s="36" t="inlineStr">
        <is>
          <t>Hạ tầng Cloud Cao cấp, Bảo mật Database &amp; Vận hành</t>
        </is>
      </c>
      <c r="C244" s="37" t="inlineStr">
        <is>
          <t>ADD-ON FULL</t>
        </is>
      </c>
      <c r="D244" s="35" t="inlineStr">
        <is>
          <t>Tối ưu hiệu năng</t>
        </is>
      </c>
      <c r="E244" s="35" t="inlineStr">
        <is>
          <t>Áp dụng Next.js Turbopack &amp; React Server Components tối ưu tốc độ tải trang dưới 1.5s</t>
        </is>
      </c>
      <c r="F244" s="27" t="inlineStr">
        <is>
          <t>—</t>
        </is>
      </c>
      <c r="G244" s="6" t="inlineStr">
        <is>
          <t>✓</t>
        </is>
      </c>
    </row>
    <row r="245" ht="20" customHeight="1">
      <c r="A245" s="29" t="inlineStr">
        <is>
          <t>M12</t>
        </is>
      </c>
      <c r="B245" s="38" t="inlineStr">
        <is>
          <t>Hạ tầng Cloud Cao cấp, Bảo mật Database &amp; Vận hành</t>
        </is>
      </c>
      <c r="C245" s="39" t="inlineStr">
        <is>
          <t>ADD-ON FULL</t>
        </is>
      </c>
      <c r="D245" s="22" t="inlineStr">
        <is>
          <t>Tối ưu hiệu năng</t>
        </is>
      </c>
      <c r="E245" s="22" t="inlineStr">
        <is>
          <t>Áp dụng Incremental Static Regeneration (ISR) tự động cache trang khóa học và blog</t>
        </is>
      </c>
      <c r="F245" s="27" t="inlineStr">
        <is>
          <t>—</t>
        </is>
      </c>
      <c r="G245" s="6" t="inlineStr">
        <is>
          <t>✓</t>
        </is>
      </c>
    </row>
    <row r="246" ht="20" customHeight="1">
      <c r="A246" s="32" t="inlineStr">
        <is>
          <t>M12</t>
        </is>
      </c>
      <c r="B246" s="36" t="inlineStr">
        <is>
          <t>Hạ tầng Cloud Cao cấp, Bảo mật Database &amp; Vận hành</t>
        </is>
      </c>
      <c r="C246" s="37" t="inlineStr">
        <is>
          <t>ADD-ON FULL</t>
        </is>
      </c>
      <c r="D246" s="35" t="inlineStr">
        <is>
          <t>Tối ưu hiệu năng</t>
        </is>
      </c>
      <c r="E246" s="35" t="inlineStr">
        <is>
          <t>Tối ưu hóa hình ảnh tự động qua Next Image (WebP/AVIF, lazy loading, responsive size)</t>
        </is>
      </c>
      <c r="F246" s="27" t="inlineStr">
        <is>
          <t>—</t>
        </is>
      </c>
      <c r="G246" s="6" t="inlineStr">
        <is>
          <t>✓</t>
        </is>
      </c>
    </row>
    <row r="247" ht="20" customHeight="1">
      <c r="A247" s="29" t="inlineStr">
        <is>
          <t>M12</t>
        </is>
      </c>
      <c r="B247" s="38" t="inlineStr">
        <is>
          <t>Hạ tầng Cloud Cao cấp, Bảo mật Database &amp; Vận hành</t>
        </is>
      </c>
      <c r="C247" s="39" t="inlineStr">
        <is>
          <t>ADD-ON FULL</t>
        </is>
      </c>
      <c r="D247" s="22" t="inlineStr">
        <is>
          <t>Tối ưu hiệu năng</t>
        </is>
      </c>
      <c r="E247" s="22" t="inlineStr">
        <is>
          <t>Đạt điểm Google Lighthouse &gt; 90 trên cả phiên bản Desktop và Mobile</t>
        </is>
      </c>
      <c r="F247" s="27" t="inlineStr">
        <is>
          <t>—</t>
        </is>
      </c>
      <c r="G247" s="6" t="inlineStr">
        <is>
          <t>✓</t>
        </is>
      </c>
    </row>
    <row r="248" ht="20" customHeight="1">
      <c r="A248" s="32" t="inlineStr">
        <is>
          <t>M12</t>
        </is>
      </c>
      <c r="B248" s="36" t="inlineStr">
        <is>
          <t>Hạ tầng Cloud Cao cấp, Bảo mật Database &amp; Vận hành</t>
        </is>
      </c>
      <c r="C248" s="37" t="inlineStr">
        <is>
          <t>ADD-ON FULL</t>
        </is>
      </c>
      <c r="D248" s="35" t="inlineStr">
        <is>
          <t>CDN &amp; SSL</t>
        </is>
      </c>
      <c r="E248" s="35" t="inlineStr">
        <is>
          <t>Tích hợp Cloudflare CDN phân phối nội dung tĩnh toàn cầu với độ trễ cực thấp</t>
        </is>
      </c>
      <c r="F248" s="27" t="inlineStr">
        <is>
          <t>—</t>
        </is>
      </c>
      <c r="G248" s="6" t="inlineStr">
        <is>
          <t>✓</t>
        </is>
      </c>
    </row>
    <row r="249" ht="20" customHeight="1">
      <c r="A249" s="29" t="inlineStr">
        <is>
          <t>M12</t>
        </is>
      </c>
      <c r="B249" s="38" t="inlineStr">
        <is>
          <t>Hạ tầng Cloud Cao cấp, Bảo mật Database &amp; Vận hành</t>
        </is>
      </c>
      <c r="C249" s="39" t="inlineStr">
        <is>
          <t>ADD-ON FULL</t>
        </is>
      </c>
      <c r="D249" s="22" t="inlineStr">
        <is>
          <t>CDN &amp; SSL</t>
        </is>
      </c>
      <c r="E249" s="22" t="inlineStr">
        <is>
          <t>Chứng chỉ bảo mật SSL/TLS miễn phí trọn đời (HTTPS xanh uy tín)</t>
        </is>
      </c>
      <c r="F249" s="27" t="inlineStr">
        <is>
          <t>—</t>
        </is>
      </c>
      <c r="G249" s="6" t="inlineStr">
        <is>
          <t>✓</t>
        </is>
      </c>
    </row>
    <row r="250" ht="20" customHeight="1">
      <c r="A250" s="32" t="inlineStr">
        <is>
          <t>M12</t>
        </is>
      </c>
      <c r="B250" s="36" t="inlineStr">
        <is>
          <t>Hạ tầng Cloud Cao cấp, Bảo mật Database &amp; Vận hành</t>
        </is>
      </c>
      <c r="C250" s="37" t="inlineStr">
        <is>
          <t>ADD-ON FULL</t>
        </is>
      </c>
      <c r="D250" s="35" t="inlineStr">
        <is>
          <t>Giám sát &amp; Log</t>
        </is>
      </c>
      <c r="E250" s="35" t="inlineStr">
        <is>
          <t>Theo dõi trạng thái hệ thống và cảnh báo lỗi thời gian thực (Error Logging)</t>
        </is>
      </c>
      <c r="F250" s="27" t="inlineStr">
        <is>
          <t>—</t>
        </is>
      </c>
      <c r="G250" s="6" t="inlineStr">
        <is>
          <t>✓</t>
        </is>
      </c>
    </row>
    <row r="251" ht="20" customHeight="1">
      <c r="A251" s="29" t="inlineStr">
        <is>
          <t>M12</t>
        </is>
      </c>
      <c r="B251" s="38" t="inlineStr">
        <is>
          <t>Hạ tầng Cloud Cao cấp, Bảo mật Database &amp; Vận hành</t>
        </is>
      </c>
      <c r="C251" s="39" t="inlineStr">
        <is>
          <t>ADD-ON FULL</t>
        </is>
      </c>
      <c r="D251" s="22" t="inlineStr">
        <is>
          <t>Giám sát &amp; Log</t>
        </is>
      </c>
      <c r="E251" s="22" t="inlineStr">
        <is>
          <t>Giám sát lưu lượng băng thông và dung lượng lưu trữ trên Cloud</t>
        </is>
      </c>
      <c r="F251" s="27" t="inlineStr">
        <is>
          <t>—</t>
        </is>
      </c>
      <c r="G251" s="6" t="inlineStr">
        <is>
          <t>✓</t>
        </is>
      </c>
    </row>
    <row r="252" ht="20" customHeight="1">
      <c r="A252" s="32" t="inlineStr">
        <is>
          <t>M12</t>
        </is>
      </c>
      <c r="B252" s="36" t="inlineStr">
        <is>
          <t>Hạ tầng Cloud Cao cấp, Bảo mật Database &amp; Vận hành</t>
        </is>
      </c>
      <c r="C252" s="37" t="inlineStr">
        <is>
          <t>ADD-ON FULL</t>
        </is>
      </c>
      <c r="D252" s="35" t="inlineStr">
        <is>
          <t>Vận hành</t>
        </is>
      </c>
      <c r="E252" s="35" t="inlineStr">
        <is>
          <t>Bàn giao tài liệu hướng dẫn quản trị và vận hành kỹ thuật chi tiết</t>
        </is>
      </c>
      <c r="F252" s="27" t="inlineStr">
        <is>
          <t>—</t>
        </is>
      </c>
      <c r="G252" s="6" t="inlineStr">
        <is>
          <t>✓</t>
        </is>
      </c>
    </row>
    <row r="253" ht="20" customHeight="1">
      <c r="A253" s="29" t="inlineStr">
        <is>
          <t>M12</t>
        </is>
      </c>
      <c r="B253" s="38" t="inlineStr">
        <is>
          <t>Hạ tầng Cloud Cao cấp, Bảo mật Database &amp; Vận hành</t>
        </is>
      </c>
      <c r="C253" s="39" t="inlineStr">
        <is>
          <t>ADD-ON FULL</t>
        </is>
      </c>
      <c r="D253" s="22" t="inlineStr">
        <is>
          <t>Vận hành</t>
        </is>
      </c>
      <c r="E253" s="22" t="inlineStr">
        <is>
          <t>Cam kết SLA hỗ trợ kỹ thuật và xử lý sự cố trong suốt thời gian bảo hành</t>
        </is>
      </c>
      <c r="F253" s="27" t="inlineStr">
        <is>
          <t>—</t>
        </is>
      </c>
      <c r="G253" s="6" t="inlineStr">
        <is>
          <t>✓</t>
        </is>
      </c>
    </row>
    <row r="254" ht="20" customHeight="1">
      <c r="A254" s="32" t="inlineStr">
        <is>
          <t>M13</t>
        </is>
      </c>
      <c r="B254" s="36" t="inlineStr">
        <is>
          <t>Cổng Đặt cọc Giữ chỗ Khóa học &amp; Cổng Học phí Trực tuyến</t>
        </is>
      </c>
      <c r="C254" s="37" t="inlineStr">
        <is>
          <t>ADD-ON FULL</t>
        </is>
      </c>
      <c r="D254" s="35" t="inlineStr">
        <is>
          <t>Thanh toán VietQR</t>
        </is>
      </c>
      <c r="E254" s="35" t="inlineStr">
        <is>
          <t>Tự động sinh mã VietQR động theo tiêu chuẩn Napas cho từng đơn đăng ký khóa học</t>
        </is>
      </c>
      <c r="F254" s="27" t="inlineStr">
        <is>
          <t>—</t>
        </is>
      </c>
      <c r="G254" s="6" t="inlineStr">
        <is>
          <t>✓</t>
        </is>
      </c>
    </row>
    <row r="255" ht="20" customHeight="1">
      <c r="A255" s="29" t="inlineStr">
        <is>
          <t>M13</t>
        </is>
      </c>
      <c r="B255" s="38" t="inlineStr">
        <is>
          <t>Cổng Đặt cọc Giữ chỗ Khóa học &amp; Cổng Học phí Trực tuyến</t>
        </is>
      </c>
      <c r="C255" s="39" t="inlineStr">
        <is>
          <t>ADD-ON FULL</t>
        </is>
      </c>
      <c r="D255" s="22" t="inlineStr">
        <is>
          <t>Thanh toán VietQR</t>
        </is>
      </c>
      <c r="E255" s="22" t="inlineStr">
        <is>
          <t>Mã QR nhúng chính xác số tiền cọc (ví dụ 1.000.000đ - 2.000.000đ) hoặc toàn bộ học phí</t>
        </is>
      </c>
      <c r="F255" s="27" t="inlineStr">
        <is>
          <t>—</t>
        </is>
      </c>
      <c r="G255" s="6" t="inlineStr">
        <is>
          <t>✓</t>
        </is>
      </c>
    </row>
    <row r="256" ht="20" customHeight="1">
      <c r="A256" s="32" t="inlineStr">
        <is>
          <t>M13</t>
        </is>
      </c>
      <c r="B256" s="36" t="inlineStr">
        <is>
          <t>Cổng Đặt cọc Giữ chỗ Khóa học &amp; Cổng Học phí Trực tuyến</t>
        </is>
      </c>
      <c r="C256" s="37" t="inlineStr">
        <is>
          <t>ADD-ON FULL</t>
        </is>
      </c>
      <c r="D256" s="35" t="inlineStr">
        <is>
          <t>Thanh toán VietQR</t>
        </is>
      </c>
      <c r="E256" s="35" t="inlineStr">
        <is>
          <t>Nội dung chuyển khoản được tạo tự động với mã định danh học viên: DUAXCAR [MãĐơn] [SĐT]</t>
        </is>
      </c>
      <c r="F256" s="27" t="inlineStr">
        <is>
          <t>—</t>
        </is>
      </c>
      <c r="G256" s="6" t="inlineStr">
        <is>
          <t>✓</t>
        </is>
      </c>
    </row>
    <row r="257" ht="20" customHeight="1">
      <c r="A257" s="29" t="inlineStr">
        <is>
          <t>M13</t>
        </is>
      </c>
      <c r="B257" s="38" t="inlineStr">
        <is>
          <t>Cổng Đặt cọc Giữ chỗ Khóa học &amp; Cổng Học phí Trực tuyến</t>
        </is>
      </c>
      <c r="C257" s="39" t="inlineStr">
        <is>
          <t>ADD-ON FULL</t>
        </is>
      </c>
      <c r="D257" s="22" t="inlineStr">
        <is>
          <t>Thanh toán VietQR</t>
        </is>
      </c>
      <c r="E257" s="22" t="inlineStr">
        <is>
          <t>Học viên chỉ cần quét mã bằng app ngân hàng là hoàn tất, không sợ chuyển nhầm số tiền</t>
        </is>
      </c>
      <c r="F257" s="27" t="inlineStr">
        <is>
          <t>—</t>
        </is>
      </c>
      <c r="G257" s="6" t="inlineStr">
        <is>
          <t>✓</t>
        </is>
      </c>
    </row>
    <row r="258" ht="20" customHeight="1">
      <c r="A258" s="32" t="inlineStr">
        <is>
          <t>M13</t>
        </is>
      </c>
      <c r="B258" s="36" t="inlineStr">
        <is>
          <t>Cổng Đặt cọc Giữ chỗ Khóa học &amp; Cổng Học phí Trực tuyến</t>
        </is>
      </c>
      <c r="C258" s="37" t="inlineStr">
        <is>
          <t>ADD-ON FULL</t>
        </is>
      </c>
      <c r="D258" s="35" t="inlineStr">
        <is>
          <t>Cổng thanh toán</t>
        </is>
      </c>
      <c r="E258" s="35" t="inlineStr">
        <is>
          <t>Tích hợp cổng thanh toán trực tuyến (VNPay / MoMo / ZaloPay / OnePay)</t>
        </is>
      </c>
      <c r="F258" s="27" t="inlineStr">
        <is>
          <t>—</t>
        </is>
      </c>
      <c r="G258" s="6" t="inlineStr">
        <is>
          <t>✓</t>
        </is>
      </c>
    </row>
    <row r="259" ht="20" customHeight="1">
      <c r="A259" s="29" t="inlineStr">
        <is>
          <t>M13</t>
        </is>
      </c>
      <c r="B259" s="38" t="inlineStr">
        <is>
          <t>Cổng Đặt cọc Giữ chỗ Khóa học &amp; Cổng Học phí Trực tuyến</t>
        </is>
      </c>
      <c r="C259" s="39" t="inlineStr">
        <is>
          <t>ADD-ON FULL</t>
        </is>
      </c>
      <c r="D259" s="22" t="inlineStr">
        <is>
          <t>Cổng thanh toán</t>
        </is>
      </c>
      <c r="E259" s="22" t="inlineStr">
        <is>
          <t>Hỗ trợ thanh toán qua Thẻ ATM nội địa (Internet Banking của tất cả ngân hàng)</t>
        </is>
      </c>
      <c r="F259" s="27" t="inlineStr">
        <is>
          <t>—</t>
        </is>
      </c>
      <c r="G259" s="6" t="inlineStr">
        <is>
          <t>✓</t>
        </is>
      </c>
    </row>
    <row r="260" ht="20" customHeight="1">
      <c r="A260" s="32" t="inlineStr">
        <is>
          <t>M13</t>
        </is>
      </c>
      <c r="B260" s="36" t="inlineStr">
        <is>
          <t>Cổng Đặt cọc Giữ chỗ Khóa học &amp; Cổng Học phí Trực tuyến</t>
        </is>
      </c>
      <c r="C260" s="37" t="inlineStr">
        <is>
          <t>ADD-ON FULL</t>
        </is>
      </c>
      <c r="D260" s="35" t="inlineStr">
        <is>
          <t>Cổng thanh toán</t>
        </is>
      </c>
      <c r="E260" s="35" t="inlineStr">
        <is>
          <t>Hỗ trợ thanh toán qua Thẻ quốc tế Visa, Mastercard, JCB</t>
        </is>
      </c>
      <c r="F260" s="27" t="inlineStr">
        <is>
          <t>—</t>
        </is>
      </c>
      <c r="G260" s="6" t="inlineStr">
        <is>
          <t>✓</t>
        </is>
      </c>
    </row>
    <row r="261" ht="20" customHeight="1">
      <c r="A261" s="29" t="inlineStr">
        <is>
          <t>M13</t>
        </is>
      </c>
      <c r="B261" s="38" t="inlineStr">
        <is>
          <t>Cổng Đặt cọc Giữ chỗ Khóa học &amp; Cổng Học phí Trực tuyến</t>
        </is>
      </c>
      <c r="C261" s="39" t="inlineStr">
        <is>
          <t>ADD-ON FULL</t>
        </is>
      </c>
      <c r="D261" s="22" t="inlineStr">
        <is>
          <t>Cổng thanh toán</t>
        </is>
      </c>
      <c r="E261" s="22" t="inlineStr">
        <is>
          <t>Hỗ trợ thanh toán qua Ví điện tử MoMo, ZaloPay, Viettel Money</t>
        </is>
      </c>
      <c r="F261" s="27" t="inlineStr">
        <is>
          <t>—</t>
        </is>
      </c>
      <c r="G261" s="6" t="inlineStr">
        <is>
          <t>✓</t>
        </is>
      </c>
    </row>
    <row r="262" ht="20" customHeight="1">
      <c r="A262" s="32" t="inlineStr">
        <is>
          <t>M13</t>
        </is>
      </c>
      <c r="B262" s="36" t="inlineStr">
        <is>
          <t>Cổng Đặt cọc Giữ chỗ Khóa học &amp; Cổng Học phí Trực tuyến</t>
        </is>
      </c>
      <c r="C262" s="37" t="inlineStr">
        <is>
          <t>ADD-ON FULL</t>
        </is>
      </c>
      <c r="D262" s="35" t="inlineStr">
        <is>
          <t>Webhook &amp; Đối soát</t>
        </is>
      </c>
      <c r="E262" s="35" t="inlineStr">
        <is>
          <t>Webhook tiếp nhận tín hiệu thanh toán tự động thời gian thực từ Cổng thanh toán/Ngân hàng</t>
        </is>
      </c>
      <c r="F262" s="27" t="inlineStr">
        <is>
          <t>—</t>
        </is>
      </c>
      <c r="G262" s="6" t="inlineStr">
        <is>
          <t>✓</t>
        </is>
      </c>
    </row>
    <row r="263" ht="20" customHeight="1">
      <c r="A263" s="29" t="inlineStr">
        <is>
          <t>M13</t>
        </is>
      </c>
      <c r="B263" s="38" t="inlineStr">
        <is>
          <t>Cổng Đặt cọc Giữ chỗ Khóa học &amp; Cổng Học phí Trực tuyến</t>
        </is>
      </c>
      <c r="C263" s="39" t="inlineStr">
        <is>
          <t>ADD-ON FULL</t>
        </is>
      </c>
      <c r="D263" s="22" t="inlineStr">
        <is>
          <t>Webhook &amp; Đối soát</t>
        </is>
      </c>
      <c r="E263" s="22" t="inlineStr">
        <is>
          <t>Tự động cập nhật trạng thái đơn đăng ký sang 'Đã đặt cọc' hoặc 'Đã đóng đủ học phí'</t>
        </is>
      </c>
      <c r="F263" s="27" t="inlineStr">
        <is>
          <t>—</t>
        </is>
      </c>
      <c r="G263" s="6" t="inlineStr">
        <is>
          <t>✓</t>
        </is>
      </c>
    </row>
    <row r="264" ht="20" customHeight="1">
      <c r="A264" s="32" t="inlineStr">
        <is>
          <t>M13</t>
        </is>
      </c>
      <c r="B264" s="36" t="inlineStr">
        <is>
          <t>Cổng Đặt cọc Giữ chỗ Khóa học &amp; Cổng Học phí Trực tuyến</t>
        </is>
      </c>
      <c r="C264" s="37" t="inlineStr">
        <is>
          <t>ADD-ON FULL</t>
        </is>
      </c>
      <c r="D264" s="35" t="inlineStr">
        <is>
          <t>Webhook &amp; Đối soát</t>
        </is>
      </c>
      <c r="E264" s="35" t="inlineStr">
        <is>
          <t>Tự động khóa slot và trừ số lượng chỗ còn lại của lớp học khi nhận cọc thành công</t>
        </is>
      </c>
      <c r="F264" s="27" t="inlineStr">
        <is>
          <t>—</t>
        </is>
      </c>
      <c r="G264" s="6" t="inlineStr">
        <is>
          <t>✓</t>
        </is>
      </c>
    </row>
    <row r="265" ht="20" customHeight="1">
      <c r="A265" s="29" t="inlineStr">
        <is>
          <t>M13</t>
        </is>
      </c>
      <c r="B265" s="38" t="inlineStr">
        <is>
          <t>Cổng Đặt cọc Giữ chỗ Khóa học &amp; Cổng Học phí Trực tuyến</t>
        </is>
      </c>
      <c r="C265" s="39" t="inlineStr">
        <is>
          <t>ADD-ON FULL</t>
        </is>
      </c>
      <c r="D265" s="22" t="inlineStr">
        <is>
          <t>Giao diện thanh toán</t>
        </is>
      </c>
      <c r="E265" s="22" t="inlineStr">
        <is>
          <t>Màn hình hướng dẫn thanh toán chi tiết kèm đồng hồ đếm ngược giữ chỗ (15 phút)</t>
        </is>
      </c>
      <c r="F265" s="27" t="inlineStr">
        <is>
          <t>—</t>
        </is>
      </c>
      <c r="G265" s="6" t="inlineStr">
        <is>
          <t>✓</t>
        </is>
      </c>
    </row>
    <row r="266" ht="20" customHeight="1">
      <c r="A266" s="32" t="inlineStr">
        <is>
          <t>M13</t>
        </is>
      </c>
      <c r="B266" s="36" t="inlineStr">
        <is>
          <t>Cổng Đặt cọc Giữ chỗ Khóa học &amp; Cổng Học phí Trực tuyến</t>
        </is>
      </c>
      <c r="C266" s="37" t="inlineStr">
        <is>
          <t>ADD-ON FULL</t>
        </is>
      </c>
      <c r="D266" s="35" t="inlineStr">
        <is>
          <t>Giao diện thanh toán</t>
        </is>
      </c>
      <c r="E266" s="35" t="inlineStr">
        <is>
          <t>Màn hình thông báo Xác nhận thanh toán cọc thành công kèm mã biên nhận điện tử</t>
        </is>
      </c>
      <c r="F266" s="27" t="inlineStr">
        <is>
          <t>—</t>
        </is>
      </c>
      <c r="G266" s="6" t="inlineStr">
        <is>
          <t>✓</t>
        </is>
      </c>
    </row>
    <row r="267" ht="20" customHeight="1">
      <c r="A267" s="29" t="inlineStr">
        <is>
          <t>M13</t>
        </is>
      </c>
      <c r="B267" s="38" t="inlineStr">
        <is>
          <t>Cổng Đặt cọc Giữ chỗ Khóa học &amp; Cổng Học phí Trực tuyến</t>
        </is>
      </c>
      <c r="C267" s="39" t="inlineStr">
        <is>
          <t>ADD-ON FULL</t>
        </is>
      </c>
      <c r="D267" s="22" t="inlineStr">
        <is>
          <t>Giao diện thanh toán</t>
        </is>
      </c>
      <c r="E267" s="22" t="inlineStr">
        <is>
          <t>Màn hình thông báo Thanh toán thất bại / hết hạn giữ chỗ kèm nút thử lại</t>
        </is>
      </c>
      <c r="F267" s="27" t="inlineStr">
        <is>
          <t>—</t>
        </is>
      </c>
      <c r="G267" s="6" t="inlineStr">
        <is>
          <t>✓</t>
        </is>
      </c>
    </row>
    <row r="268" ht="20" customHeight="1">
      <c r="A268" s="32" t="inlineStr">
        <is>
          <t>M13</t>
        </is>
      </c>
      <c r="B268" s="36" t="inlineStr">
        <is>
          <t>Cổng Đặt cọc Giữ chỗ Khóa học &amp; Cổng Học phí Trực tuyến</t>
        </is>
      </c>
      <c r="C268" s="37" t="inlineStr">
        <is>
          <t>ADD-ON FULL</t>
        </is>
      </c>
      <c r="D268" s="35" t="inlineStr">
        <is>
          <t>Quản lý thanh toán</t>
        </is>
      </c>
      <c r="E268" s="35" t="inlineStr">
        <is>
          <t>Module quản lý giao dịch học phí trong CMS quản trị</t>
        </is>
      </c>
      <c r="F268" s="27" t="inlineStr">
        <is>
          <t>—</t>
        </is>
      </c>
      <c r="G268" s="6" t="inlineStr">
        <is>
          <t>✓</t>
        </is>
      </c>
    </row>
    <row r="269" ht="20" customHeight="1">
      <c r="A269" s="29" t="inlineStr">
        <is>
          <t>M13</t>
        </is>
      </c>
      <c r="B269" s="38" t="inlineStr">
        <is>
          <t>Cổng Đặt cọc Giữ chỗ Khóa học &amp; Cổng Học phí Trực tuyến</t>
        </is>
      </c>
      <c r="C269" s="39" t="inlineStr">
        <is>
          <t>ADD-ON FULL</t>
        </is>
      </c>
      <c r="D269" s="22" t="inlineStr">
        <is>
          <t>Quản lý thanh toán</t>
        </is>
      </c>
      <c r="E269" s="22" t="inlineStr">
        <is>
          <t>Quản lý danh sách biên lai thu cọc, lọc theo ngày, theo khóa học, theo phương thức</t>
        </is>
      </c>
      <c r="F269" s="27" t="inlineStr">
        <is>
          <t>—</t>
        </is>
      </c>
      <c r="G269" s="6" t="inlineStr">
        <is>
          <t>✓</t>
        </is>
      </c>
    </row>
    <row r="270" ht="20" customHeight="1">
      <c r="A270" s="32" t="inlineStr">
        <is>
          <t>M13</t>
        </is>
      </c>
      <c r="B270" s="36" t="inlineStr">
        <is>
          <t>Cổng Đặt cọc Giữ chỗ Khóa học &amp; Cổng Học phí Trực tuyến</t>
        </is>
      </c>
      <c r="C270" s="37" t="inlineStr">
        <is>
          <t>ADD-ON FULL</t>
        </is>
      </c>
      <c r="D270" s="35" t="inlineStr">
        <is>
          <t>Quản lý thanh toán</t>
        </is>
      </c>
      <c r="E270" s="35" t="inlineStr">
        <is>
          <t>Hỗ trợ nhân viên kế toán xác nhận thanh toán thủ công đối với trường hợp chuyển khoản trực tiếp</t>
        </is>
      </c>
      <c r="F270" s="27" t="inlineStr">
        <is>
          <t>—</t>
        </is>
      </c>
      <c r="G270" s="6" t="inlineStr">
        <is>
          <t>✓</t>
        </is>
      </c>
    </row>
    <row r="271" ht="20" customHeight="1">
      <c r="A271" s="29" t="inlineStr">
        <is>
          <t>M13</t>
        </is>
      </c>
      <c r="B271" s="38" t="inlineStr">
        <is>
          <t>Cổng Đặt cọc Giữ chỗ Khóa học &amp; Cổng Học phí Trực tuyến</t>
        </is>
      </c>
      <c r="C271" s="39" t="inlineStr">
        <is>
          <t>ADD-ON FULL</t>
        </is>
      </c>
      <c r="D271" s="22" t="inlineStr">
        <is>
          <t>Quản lý thanh toán</t>
        </is>
      </c>
      <c r="E271" s="22" t="inlineStr">
        <is>
          <t>Xuất file danh sách giao dịch nộp học phí ra Excel phục vụ công tác kế toán</t>
        </is>
      </c>
      <c r="F271" s="27" t="inlineStr">
        <is>
          <t>—</t>
        </is>
      </c>
      <c r="G271" s="6" t="inlineStr">
        <is>
          <t>✓</t>
        </is>
      </c>
    </row>
    <row r="272" ht="20" customHeight="1">
      <c r="A272" s="32" t="inlineStr">
        <is>
          <t>M14</t>
        </is>
      </c>
      <c r="B272" s="36" t="inlineStr">
        <is>
          <t>Social Proof Chuyên sâu &amp; Showcase Học viên Mở quán Thành công</t>
        </is>
      </c>
      <c r="C272" s="37" t="inlineStr">
        <is>
          <t>ADD-ON FULL</t>
        </is>
      </c>
      <c r="D272" s="35" t="inlineStr">
        <is>
          <t>Showcase thành công</t>
        </is>
      </c>
      <c r="E272" s="35" t="inlineStr">
        <is>
          <t>Trang chuyên đề 'Gương mặt Khởi nghiệp F&amp;B - Học viên mở quán thành công'</t>
        </is>
      </c>
      <c r="F272" s="27" t="inlineStr">
        <is>
          <t>—</t>
        </is>
      </c>
      <c r="G272" s="6" t="inlineStr">
        <is>
          <t>✓</t>
        </is>
      </c>
    </row>
    <row r="273" ht="20" customHeight="1">
      <c r="A273" s="29" t="inlineStr">
        <is>
          <t>M14</t>
        </is>
      </c>
      <c r="B273" s="38" t="inlineStr">
        <is>
          <t>Social Proof Chuyên sâu &amp; Showcase Học viên Mở quán Thành công</t>
        </is>
      </c>
      <c r="C273" s="39" t="inlineStr">
        <is>
          <t>ADD-ON FULL</t>
        </is>
      </c>
      <c r="D273" s="22" t="inlineStr">
        <is>
          <t>Showcase thành công</t>
        </is>
      </c>
      <c r="E273" s="22" t="inlineStr">
        <is>
          <t>Showcase hình ảnh thực tế quán ăn, nhà hàng, quầy đồ ăn sáng do học viên làm chủ</t>
        </is>
      </c>
      <c r="F273" s="27" t="inlineStr">
        <is>
          <t>—</t>
        </is>
      </c>
      <c r="G273" s="6" t="inlineStr">
        <is>
          <t>✓</t>
        </is>
      </c>
    </row>
    <row r="274" ht="20" customHeight="1">
      <c r="A274" s="32" t="inlineStr">
        <is>
          <t>M14</t>
        </is>
      </c>
      <c r="B274" s="36" t="inlineStr">
        <is>
          <t>Social Proof Chuyên sâu &amp; Showcase Học viên Mở quán Thành công</t>
        </is>
      </c>
      <c r="C274" s="37" t="inlineStr">
        <is>
          <t>ADD-ON FULL</t>
        </is>
      </c>
      <c r="D274" s="35" t="inlineStr">
        <is>
          <t>Showcase thành công</t>
        </is>
      </c>
      <c r="E274" s="35" t="inlineStr">
        <is>
          <t>Video phỏng vấn học viên: Quá trình học nghề, khó khăn khi setup và thành quả mở quán</t>
        </is>
      </c>
      <c r="F274" s="27" t="inlineStr">
        <is>
          <t>—</t>
        </is>
      </c>
      <c r="G274" s="6" t="inlineStr">
        <is>
          <t>✓</t>
        </is>
      </c>
    </row>
    <row r="275" ht="20" customHeight="1">
      <c r="A275" s="29" t="inlineStr">
        <is>
          <t>M14</t>
        </is>
      </c>
      <c r="B275" s="38" t="inlineStr">
        <is>
          <t>Social Proof Chuyên sâu &amp; Showcase Học viên Mở quán Thành công</t>
        </is>
      </c>
      <c r="C275" s="39" t="inlineStr">
        <is>
          <t>ADD-ON FULL</t>
        </is>
      </c>
      <c r="D275" s="22" t="inlineStr">
        <is>
          <t>Showcase thành công</t>
        </is>
      </c>
      <c r="E275" s="22" t="inlineStr">
        <is>
          <t>Hiển thị doanh thu thực tế, số lượng tô/suất bán ra mỗi ngày để truyền cảm hứng</t>
        </is>
      </c>
      <c r="F275" s="27" t="inlineStr">
        <is>
          <t>—</t>
        </is>
      </c>
      <c r="G275" s="6" t="inlineStr">
        <is>
          <t>✓</t>
        </is>
      </c>
    </row>
    <row r="276" ht="20" customHeight="1">
      <c r="A276" s="32" t="inlineStr">
        <is>
          <t>M14</t>
        </is>
      </c>
      <c r="B276" s="36" t="inlineStr">
        <is>
          <t>Social Proof Chuyên sâu &amp; Showcase Học viên Mở quán Thành công</t>
        </is>
      </c>
      <c r="C276" s="37" t="inlineStr">
        <is>
          <t>ADD-ON FULL</t>
        </is>
      </c>
      <c r="D276" s="35" t="inlineStr">
        <is>
          <t>Showcase thành công</t>
        </is>
      </c>
      <c r="E276" s="35" t="inlineStr">
        <is>
          <t>Địa chỉ quán ăn của học viên kèm link Google Maps (giúp học viên quảng bá quán mới)</t>
        </is>
      </c>
      <c r="F276" s="27" t="inlineStr">
        <is>
          <t>—</t>
        </is>
      </c>
      <c r="G276" s="6" t="inlineStr">
        <is>
          <t>✓</t>
        </is>
      </c>
    </row>
    <row r="277" ht="20" customHeight="1">
      <c r="A277" s="29" t="inlineStr">
        <is>
          <t>M14</t>
        </is>
      </c>
      <c r="B277" s="38" t="inlineStr">
        <is>
          <t>Social Proof Chuyên sâu &amp; Showcase Học viên Mở quán Thành công</t>
        </is>
      </c>
      <c r="C277" s="39" t="inlineStr">
        <is>
          <t>ADD-ON FULL</t>
        </is>
      </c>
      <c r="D277" s="22" t="inlineStr">
        <is>
          <t>Đánh giá học viên</t>
        </is>
      </c>
      <c r="E277" s="22" t="inlineStr">
        <is>
          <t>Hệ thống Đánh giá &amp; Cảm nhận học viên có xác thực (Verified Student Reviews)</t>
        </is>
      </c>
      <c r="F277" s="27" t="inlineStr">
        <is>
          <t>—</t>
        </is>
      </c>
      <c r="G277" s="6" t="inlineStr">
        <is>
          <t>✓</t>
        </is>
      </c>
    </row>
    <row r="278" ht="20" customHeight="1">
      <c r="A278" s="32" t="inlineStr">
        <is>
          <t>M14</t>
        </is>
      </c>
      <c r="B278" s="36" t="inlineStr">
        <is>
          <t>Social Proof Chuyên sâu &amp; Showcase Học viên Mở quán Thành công</t>
        </is>
      </c>
      <c r="C278" s="37" t="inlineStr">
        <is>
          <t>ADD-ON FULL</t>
        </is>
      </c>
      <c r="D278" s="35" t="inlineStr">
        <is>
          <t>Đánh giá học viên</t>
        </is>
      </c>
      <c r="E278" s="35" t="inlineStr">
        <is>
          <t>Đánh giá xếp hạng sao (Rating 1-5 sao) theo từng khóa học cụ thể</t>
        </is>
      </c>
      <c r="F278" s="27" t="inlineStr">
        <is>
          <t>—</t>
        </is>
      </c>
      <c r="G278" s="6" t="inlineStr">
        <is>
          <t>✓</t>
        </is>
      </c>
    </row>
    <row r="279" ht="20" customHeight="1">
      <c r="A279" s="29" t="inlineStr">
        <is>
          <t>M14</t>
        </is>
      </c>
      <c r="B279" s="38" t="inlineStr">
        <is>
          <t>Social Proof Chuyên sâu &amp; Showcase Học viên Mở quán Thành công</t>
        </is>
      </c>
      <c r="C279" s="39" t="inlineStr">
        <is>
          <t>ADD-ON FULL</t>
        </is>
      </c>
      <c r="D279" s="22" t="inlineStr">
        <is>
          <t>Đánh giá học viên</t>
        </is>
      </c>
      <c r="E279" s="22" t="inlineStr">
        <is>
          <t>Học viên được tải lên hình ảnh món ăn tự nấu tại nhà/quán chứng minh chất lượng</t>
        </is>
      </c>
      <c r="F279" s="27" t="inlineStr">
        <is>
          <t>—</t>
        </is>
      </c>
      <c r="G279" s="6" t="inlineStr">
        <is>
          <t>✓</t>
        </is>
      </c>
    </row>
    <row r="280" ht="20" customHeight="1">
      <c r="A280" s="32" t="inlineStr">
        <is>
          <t>M14</t>
        </is>
      </c>
      <c r="B280" s="36" t="inlineStr">
        <is>
          <t>Social Proof Chuyên sâu &amp; Showcase Học viên Mở quán Thành công</t>
        </is>
      </c>
      <c r="C280" s="37" t="inlineStr">
        <is>
          <t>ADD-ON FULL</t>
        </is>
      </c>
      <c r="D280" s="35" t="inlineStr">
        <is>
          <t>Đánh giá học viên</t>
        </is>
      </c>
      <c r="E280" s="35" t="inlineStr">
        <is>
          <t>Hiển thị điểm đánh giá trung bình và tỷ lệ hài lòng (ví dụ: 4.9/5 sao từ 200+ học viên)</t>
        </is>
      </c>
      <c r="F280" s="27" t="inlineStr">
        <is>
          <t>—</t>
        </is>
      </c>
      <c r="G280" s="6" t="inlineStr">
        <is>
          <t>✓</t>
        </is>
      </c>
    </row>
    <row r="281" ht="20" customHeight="1">
      <c r="A281" s="29" t="inlineStr">
        <is>
          <t>M14</t>
        </is>
      </c>
      <c r="B281" s="38" t="inlineStr">
        <is>
          <t>Social Proof Chuyên sâu &amp; Showcase Học viên Mở quán Thành công</t>
        </is>
      </c>
      <c r="C281" s="39" t="inlineStr">
        <is>
          <t>ADD-ON FULL</t>
        </is>
      </c>
      <c r="D281" s="22" t="inlineStr">
        <is>
          <t>Đánh giá học viên</t>
        </is>
      </c>
      <c r="E281" s="22" t="inlineStr">
        <is>
          <t>Huy hiệu 'Học viên đã tốt nghiệp' gắn liền với từng nhận xét</t>
        </is>
      </c>
      <c r="F281" s="27" t="inlineStr">
        <is>
          <t>—</t>
        </is>
      </c>
      <c r="G281" s="6" t="inlineStr">
        <is>
          <t>✓</t>
        </is>
      </c>
    </row>
    <row r="282" ht="20" customHeight="1">
      <c r="A282" s="32" t="inlineStr">
        <is>
          <t>M14</t>
        </is>
      </c>
      <c r="B282" s="36" t="inlineStr">
        <is>
          <t>Social Proof Chuyên sâu &amp; Showcase Học viên Mở quán Thành công</t>
        </is>
      </c>
      <c r="C282" s="37" t="inlineStr">
        <is>
          <t>ADD-ON FULL</t>
        </is>
      </c>
      <c r="D282" s="35" t="inlineStr">
        <is>
          <t>Kiểm duyệt CMS</t>
        </is>
      </c>
      <c r="E282" s="35" t="inlineStr">
        <is>
          <t>Module quản lý và kiểm duyệt đánh giá học viên trong CMS</t>
        </is>
      </c>
      <c r="F282" s="27" t="inlineStr">
        <is>
          <t>—</t>
        </is>
      </c>
      <c r="G282" s="6" t="inlineStr">
        <is>
          <t>✓</t>
        </is>
      </c>
    </row>
    <row r="283" ht="20" customHeight="1">
      <c r="A283" s="29" t="inlineStr">
        <is>
          <t>M14</t>
        </is>
      </c>
      <c r="B283" s="38" t="inlineStr">
        <is>
          <t>Social Proof Chuyên sâu &amp; Showcase Học viên Mở quán Thành công</t>
        </is>
      </c>
      <c r="C283" s="39" t="inlineStr">
        <is>
          <t>ADD-ON FULL</t>
        </is>
      </c>
      <c r="D283" s="22" t="inlineStr">
        <is>
          <t>Kiểm duyệt CMS</t>
        </is>
      </c>
      <c r="E283" s="22" t="inlineStr">
        <is>
          <t>Cơ chế kiểm duyệt trước khi hiển thị (Moderation Queue) chống spam nhận xét tiêu cực giả mạo</t>
        </is>
      </c>
      <c r="F283" s="27" t="inlineStr">
        <is>
          <t>—</t>
        </is>
      </c>
      <c r="G283" s="6" t="inlineStr">
        <is>
          <t>✓</t>
        </is>
      </c>
    </row>
    <row r="284" ht="20" customHeight="1">
      <c r="A284" s="32" t="inlineStr">
        <is>
          <t>M14</t>
        </is>
      </c>
      <c r="B284" s="36" t="inlineStr">
        <is>
          <t>Social Proof Chuyên sâu &amp; Showcase Học viên Mở quán Thành công</t>
        </is>
      </c>
      <c r="C284" s="37" t="inlineStr">
        <is>
          <t>ADD-ON FULL</t>
        </is>
      </c>
      <c r="D284" s="35" t="inlineStr">
        <is>
          <t>Kiểm duyệt CMS</t>
        </is>
      </c>
      <c r="E284" s="35" t="inlineStr">
        <is>
          <t>Ban quản trị phản hồi trực tiếp dưới từng nhận xét của học viên</t>
        </is>
      </c>
      <c r="F284" s="27" t="inlineStr">
        <is>
          <t>—</t>
        </is>
      </c>
      <c r="G284" s="6" t="inlineStr">
        <is>
          <t>✓</t>
        </is>
      </c>
    </row>
    <row r="285" ht="20" customHeight="1">
      <c r="A285" s="29" t="inlineStr">
        <is>
          <t>M14</t>
        </is>
      </c>
      <c r="B285" s="38" t="inlineStr">
        <is>
          <t>Social Proof Chuyên sâu &amp; Showcase Học viên Mở quán Thành công</t>
        </is>
      </c>
      <c r="C285" s="39" t="inlineStr">
        <is>
          <t>ADD-ON FULL</t>
        </is>
      </c>
      <c r="D285" s="22" t="inlineStr">
        <is>
          <t>Hiển thị thông minh</t>
        </is>
      </c>
      <c r="E285" s="22" t="inlineStr">
        <is>
          <t>Widget hiển thị đánh giá học viên tại trang chủ và nhúng trong trang chi tiết khóa học</t>
        </is>
      </c>
      <c r="F285" s="27" t="inlineStr">
        <is>
          <t>—</t>
        </is>
      </c>
      <c r="G285" s="6" t="inlineStr">
        <is>
          <t>✓</t>
        </is>
      </c>
    </row>
    <row r="286" ht="20" customHeight="1">
      <c r="A286" s="32" t="inlineStr">
        <is>
          <t>M14</t>
        </is>
      </c>
      <c r="B286" s="36" t="inlineStr">
        <is>
          <t>Social Proof Chuyên sâu &amp; Showcase Học viên Mở quán Thành công</t>
        </is>
      </c>
      <c r="C286" s="37" t="inlineStr">
        <is>
          <t>ADD-ON FULL</t>
        </is>
      </c>
      <c r="D286" s="35" t="inlineStr">
        <is>
          <t>Hiển thị thông minh</t>
        </is>
      </c>
      <c r="E286" s="35" t="inlineStr">
        <is>
          <t>Bộ lọc đánh giá: Xem đánh giá có ảnh, lọc theo số sao (5 sao, 4 sao)</t>
        </is>
      </c>
      <c r="F286" s="27" t="inlineStr">
        <is>
          <t>—</t>
        </is>
      </c>
      <c r="G286" s="6" t="inlineStr">
        <is>
          <t>✓</t>
        </is>
      </c>
    </row>
    <row r="287" ht="20" customHeight="1">
      <c r="A287" s="29" t="inlineStr">
        <is>
          <t>M14</t>
        </is>
      </c>
      <c r="B287" s="38" t="inlineStr">
        <is>
          <t>Social Proof Chuyên sâu &amp; Showcase Học viên Mở quán Thành công</t>
        </is>
      </c>
      <c r="C287" s="39" t="inlineStr">
        <is>
          <t>ADD-ON FULL</t>
        </is>
      </c>
      <c r="D287" s="22" t="inlineStr">
        <is>
          <t>Hiển thị thông minh</t>
        </is>
      </c>
      <c r="E287" s="22" t="inlineStr">
        <is>
          <t>SEO Review Schema giúp hiển thị ngôi sao đánh giá màu vàng trên kết quả tìm kiếm Google</t>
        </is>
      </c>
      <c r="F287" s="27" t="inlineStr">
        <is>
          <t>—</t>
        </is>
      </c>
      <c r="G287" s="6" t="inlineStr">
        <is>
          <t>✓</t>
        </is>
      </c>
    </row>
    <row r="288" ht="20" customHeight="1">
      <c r="A288" s="32" t="inlineStr">
        <is>
          <t>M14</t>
        </is>
      </c>
      <c r="B288" s="36" t="inlineStr">
        <is>
          <t>Social Proof Chuyên sâu &amp; Showcase Học viên Mở quán Thành công</t>
        </is>
      </c>
      <c r="C288" s="37" t="inlineStr">
        <is>
          <t>ADD-ON FULL</t>
        </is>
      </c>
      <c r="D288" s="35" t="inlineStr">
        <is>
          <t>Chứng chỉ tốt nghiệp</t>
        </is>
      </c>
      <c r="E288" s="35" t="inlineStr">
        <is>
          <t>Khu vực trưng bày mẫu Chứng chỉ hoàn thành khóa đào tạo nghề ẩm thực DuaxCar</t>
        </is>
      </c>
      <c r="F288" s="27" t="inlineStr">
        <is>
          <t>—</t>
        </is>
      </c>
      <c r="G288" s="6" t="inlineStr">
        <is>
          <t>✓</t>
        </is>
      </c>
    </row>
    <row r="289" ht="20" customHeight="1">
      <c r="A289" s="29" t="inlineStr">
        <is>
          <t>M14</t>
        </is>
      </c>
      <c r="B289" s="38" t="inlineStr">
        <is>
          <t>Social Proof Chuyên sâu &amp; Showcase Học viên Mở quán Thành công</t>
        </is>
      </c>
      <c r="C289" s="39" t="inlineStr">
        <is>
          <t>ADD-ON FULL</t>
        </is>
      </c>
      <c r="D289" s="22" t="inlineStr">
        <is>
          <t>Chứng chỉ tốt nghiệp</t>
        </is>
      </c>
      <c r="E289" s="22" t="inlineStr">
        <is>
          <t>Hệ thống tra cứu mã chứng chỉ học viên điện tử chống làm giả</t>
        </is>
      </c>
      <c r="F289" s="27" t="inlineStr">
        <is>
          <t>—</t>
        </is>
      </c>
      <c r="G289" s="6" t="inlineStr">
        <is>
          <t>✓</t>
        </is>
      </c>
    </row>
    <row r="290" ht="20" customHeight="1">
      <c r="A290" s="32" t="inlineStr">
        <is>
          <t>M15</t>
        </is>
      </c>
      <c r="B290" s="36" t="inlineStr">
        <is>
          <t>Cổng Học viên (Student Portal) &amp; Kho Công thức Số Độc quyền</t>
        </is>
      </c>
      <c r="C290" s="37" t="inlineStr">
        <is>
          <t>ADD-ON FULL</t>
        </is>
      </c>
      <c r="D290" s="35" t="inlineStr">
        <is>
          <t>Cổng học viên</t>
        </is>
      </c>
      <c r="E290" s="35" t="inlineStr">
        <is>
          <t>Hệ thống Đăng nhập / Đăng ký tài khoản học viên bằng Số điện thoại / Email / OTP</t>
        </is>
      </c>
      <c r="F290" s="27" t="inlineStr">
        <is>
          <t>—</t>
        </is>
      </c>
      <c r="G290" s="6" t="inlineStr">
        <is>
          <t>✓</t>
        </is>
      </c>
    </row>
    <row r="291" ht="20" customHeight="1">
      <c r="A291" s="29" t="inlineStr">
        <is>
          <t>M15</t>
        </is>
      </c>
      <c r="B291" s="38" t="inlineStr">
        <is>
          <t>Cổng Học viên (Student Portal) &amp; Kho Công thức Số Độc quyền</t>
        </is>
      </c>
      <c r="C291" s="39" t="inlineStr">
        <is>
          <t>ADD-ON FULL</t>
        </is>
      </c>
      <c r="D291" s="22" t="inlineStr">
        <is>
          <t>Cổng học viên</t>
        </is>
      </c>
      <c r="E291" s="22" t="inlineStr">
        <is>
          <t>Dashboard cá nhân học viên (/hoc-vien): Quản lý thông tin cá nhân và lớp học</t>
        </is>
      </c>
      <c r="F291" s="27" t="inlineStr">
        <is>
          <t>—</t>
        </is>
      </c>
      <c r="G291" s="6" t="inlineStr">
        <is>
          <t>✓</t>
        </is>
      </c>
    </row>
    <row r="292" ht="20" customHeight="1">
      <c r="A292" s="32" t="inlineStr">
        <is>
          <t>M15</t>
        </is>
      </c>
      <c r="B292" s="36" t="inlineStr">
        <is>
          <t>Cổng Học viên (Student Portal) &amp; Kho Công thức Số Độc quyền</t>
        </is>
      </c>
      <c r="C292" s="37" t="inlineStr">
        <is>
          <t>ADD-ON FULL</t>
        </is>
      </c>
      <c r="D292" s="35" t="inlineStr">
        <is>
          <t>Cổng học viên</t>
        </is>
      </c>
      <c r="E292" s="35" t="inlineStr">
        <is>
          <t>Danh sách các khóa học đã đăng ký, lịch khai giảng và thông tin phòng bếp thực hành</t>
        </is>
      </c>
      <c r="F292" s="27" t="inlineStr">
        <is>
          <t>—</t>
        </is>
      </c>
      <c r="G292" s="6" t="inlineStr">
        <is>
          <t>✓</t>
        </is>
      </c>
    </row>
    <row r="293" ht="20" customHeight="1">
      <c r="A293" s="29" t="inlineStr">
        <is>
          <t>M15</t>
        </is>
      </c>
      <c r="B293" s="38" t="inlineStr">
        <is>
          <t>Cổng Học viên (Student Portal) &amp; Kho Công thức Số Độc quyền</t>
        </is>
      </c>
      <c r="C293" s="39" t="inlineStr">
        <is>
          <t>ADD-ON FULL</t>
        </is>
      </c>
      <c r="D293" s="22" t="inlineStr">
        <is>
          <t>Cổng học viên</t>
        </is>
      </c>
      <c r="E293" s="22" t="inlineStr">
        <is>
          <t>Theo dõi tình trạng học phí: Đã cọc, Còn thiếu, Đã thanh toán trọn gói</t>
        </is>
      </c>
      <c r="F293" s="27" t="inlineStr">
        <is>
          <t>—</t>
        </is>
      </c>
      <c r="G293" s="6" t="inlineStr">
        <is>
          <t>✓</t>
        </is>
      </c>
    </row>
    <row r="294" ht="20" customHeight="1">
      <c r="A294" s="32" t="inlineStr">
        <is>
          <t>M15</t>
        </is>
      </c>
      <c r="B294" s="36" t="inlineStr">
        <is>
          <t>Cổng Học viên (Student Portal) &amp; Kho Công thức Số Độc quyền</t>
        </is>
      </c>
      <c r="C294" s="37" t="inlineStr">
        <is>
          <t>ADD-ON FULL</t>
        </is>
      </c>
      <c r="D294" s="35" t="inlineStr">
        <is>
          <t>Kho công thức số</t>
        </is>
      </c>
      <c r="E294" s="35" t="inlineStr">
        <is>
          <t>Kho tài liệu công thức điện tử chuẩn định lượng (Digital Recipe Hub)</t>
        </is>
      </c>
      <c r="F294" s="27" t="inlineStr">
        <is>
          <t>—</t>
        </is>
      </c>
      <c r="G294" s="6" t="inlineStr">
        <is>
          <t>✓</t>
        </is>
      </c>
    </row>
    <row r="295" ht="20" customHeight="1">
      <c r="A295" s="29" t="inlineStr">
        <is>
          <t>M15</t>
        </is>
      </c>
      <c r="B295" s="38" t="inlineStr">
        <is>
          <t>Cổng Học viên (Student Portal) &amp; Kho Công thức Số Độc quyền</t>
        </is>
      </c>
      <c r="C295" s="39" t="inlineStr">
        <is>
          <t>ADD-ON FULL</t>
        </is>
      </c>
      <c r="D295" s="22" t="inlineStr">
        <is>
          <t>Kho công thức số</t>
        </is>
      </c>
      <c r="E295" s="22" t="inlineStr">
        <is>
          <t>Phân quyền truy cập tài liệu: Chỉ học viên đã đóng đủ học phí khóa nào mới xem được khóa đó</t>
        </is>
      </c>
      <c r="F295" s="27" t="inlineStr">
        <is>
          <t>—</t>
        </is>
      </c>
      <c r="G295" s="6" t="inlineStr">
        <is>
          <t>✓</t>
        </is>
      </c>
    </row>
    <row r="296" ht="20" customHeight="1">
      <c r="A296" s="32" t="inlineStr">
        <is>
          <t>M15</t>
        </is>
      </c>
      <c r="B296" s="36" t="inlineStr">
        <is>
          <t>Cổng Học viên (Student Portal) &amp; Kho Công thức Số Độc quyền</t>
        </is>
      </c>
      <c r="C296" s="37" t="inlineStr">
        <is>
          <t>ADD-ON FULL</t>
        </is>
      </c>
      <c r="D296" s="35" t="inlineStr">
        <is>
          <t>Kho công thức số</t>
        </is>
      </c>
      <c r="E296" s="35" t="inlineStr">
        <is>
          <t>File PDF công thức chuẩn gram/ml chi tiết từng nguyên liệu và tỷ lệ gia vị sốt cốt</t>
        </is>
      </c>
      <c r="F296" s="27" t="inlineStr">
        <is>
          <t>—</t>
        </is>
      </c>
      <c r="G296" s="6" t="inlineStr">
        <is>
          <t>✓</t>
        </is>
      </c>
    </row>
    <row r="297" ht="20" customHeight="1">
      <c r="A297" s="29" t="inlineStr">
        <is>
          <t>M15</t>
        </is>
      </c>
      <c r="B297" s="38" t="inlineStr">
        <is>
          <t>Cổng Học viên (Student Portal) &amp; Kho Công thức Số Độc quyền</t>
        </is>
      </c>
      <c r="C297" s="39" t="inlineStr">
        <is>
          <t>ADD-ON FULL</t>
        </is>
      </c>
      <c r="D297" s="22" t="inlineStr">
        <is>
          <t>Kho công thức số</t>
        </is>
      </c>
      <c r="E297" s="22" t="inlineStr">
        <is>
          <t>Video clip quay cận cảnh kỹ thuật chế biến thao tác mẫu của Master Chef</t>
        </is>
      </c>
      <c r="F297" s="27" t="inlineStr">
        <is>
          <t>—</t>
        </is>
      </c>
      <c r="G297" s="6" t="inlineStr">
        <is>
          <t>✓</t>
        </is>
      </c>
    </row>
    <row r="298" ht="20" customHeight="1">
      <c r="A298" s="32" t="inlineStr">
        <is>
          <t>M15</t>
        </is>
      </c>
      <c r="B298" s="36" t="inlineStr">
        <is>
          <t>Cổng Học viên (Student Portal) &amp; Kho Công thức Số Độc quyền</t>
        </is>
      </c>
      <c r="C298" s="37" t="inlineStr">
        <is>
          <t>ADD-ON FULL</t>
        </is>
      </c>
      <c r="D298" s="35" t="inlineStr">
        <is>
          <t>Kho công thức số</t>
        </is>
      </c>
      <c r="E298" s="35" t="inlineStr">
        <is>
          <t>Bảng tính Excel mẫu định lượng giá cost nguyên liệu và tính toán điểm hòa vốn mở quán</t>
        </is>
      </c>
      <c r="F298" s="27" t="inlineStr">
        <is>
          <t>—</t>
        </is>
      </c>
      <c r="G298" s="6" t="inlineStr">
        <is>
          <t>✓</t>
        </is>
      </c>
    </row>
    <row r="299" ht="20" customHeight="1">
      <c r="A299" s="29" t="inlineStr">
        <is>
          <t>M15</t>
        </is>
      </c>
      <c r="B299" s="38" t="inlineStr">
        <is>
          <t>Cổng Học viên (Student Portal) &amp; Kho Công thức Số Độc quyền</t>
        </is>
      </c>
      <c r="C299" s="39" t="inlineStr">
        <is>
          <t>ADD-ON FULL</t>
        </is>
      </c>
      <c r="D299" s="22" t="inlineStr">
        <is>
          <t>Kho công thức số</t>
        </is>
      </c>
      <c r="E299" s="22" t="inlineStr">
        <is>
          <t>Danh bạ nhà cung cấp nguyên liệu, gia vị sỉ chuẩn vị được DuaxCar liên kết trợ giá</t>
        </is>
      </c>
      <c r="F299" s="27" t="inlineStr">
        <is>
          <t>—</t>
        </is>
      </c>
      <c r="G299" s="6" t="inlineStr">
        <is>
          <t>✓</t>
        </is>
      </c>
    </row>
    <row r="300" ht="20" customHeight="1">
      <c r="A300" s="32" t="inlineStr">
        <is>
          <t>M15</t>
        </is>
      </c>
      <c r="B300" s="36" t="inlineStr">
        <is>
          <t>Cổng Học viên (Student Portal) &amp; Kho Công thức Số Độc quyền</t>
        </is>
      </c>
      <c r="C300" s="37" t="inlineStr">
        <is>
          <t>ADD-ON FULL</t>
        </is>
      </c>
      <c r="D300" s="35" t="inlineStr">
        <is>
          <t>Bảo vệ bản quyền</t>
        </is>
      </c>
      <c r="E300" s="35" t="inlineStr">
        <is>
          <t>Cơ chế đóng dấu Watermark tự động (Họ tên + SĐT học viên) trên toàn bộ tài liệu PDF</t>
        </is>
      </c>
      <c r="F300" s="27" t="inlineStr">
        <is>
          <t>—</t>
        </is>
      </c>
      <c r="G300" s="6" t="inlineStr">
        <is>
          <t>✓</t>
        </is>
      </c>
    </row>
    <row r="301" ht="20" customHeight="1">
      <c r="A301" s="29" t="inlineStr">
        <is>
          <t>M15</t>
        </is>
      </c>
      <c r="B301" s="38" t="inlineStr">
        <is>
          <t>Cổng Học viên (Student Portal) &amp; Kho Công thức Số Độc quyền</t>
        </is>
      </c>
      <c r="C301" s="39" t="inlineStr">
        <is>
          <t>ADD-ON FULL</t>
        </is>
      </c>
      <c r="D301" s="22" t="inlineStr">
        <is>
          <t>Bảo vệ bản quyền</t>
        </is>
      </c>
      <c r="E301" s="22" t="inlineStr">
        <is>
          <t>Chống sao chép, tải lậu và phát tán bí quyết công thức độc quyền ra ngoài</t>
        </is>
      </c>
      <c r="F301" s="27" t="inlineStr">
        <is>
          <t>—</t>
        </is>
      </c>
      <c r="G301" s="6" t="inlineStr">
        <is>
          <t>✓</t>
        </is>
      </c>
    </row>
    <row r="302" ht="20" customHeight="1">
      <c r="A302" s="32" t="inlineStr">
        <is>
          <t>M15</t>
        </is>
      </c>
      <c r="B302" s="36" t="inlineStr">
        <is>
          <t>Cổng Học viên (Student Portal) &amp; Kho Công thức Số Độc quyền</t>
        </is>
      </c>
      <c r="C302" s="37" t="inlineStr">
        <is>
          <t>ADD-ON FULL</t>
        </is>
      </c>
      <c r="D302" s="35" t="inlineStr">
        <is>
          <t>Hỗ trợ học viên</t>
        </is>
      </c>
      <c r="E302" s="35" t="inlineStr">
        <is>
          <t>Học viên gửi câu hỏi thắc mắc trực tiếp cho Giảng viên Master Chef qua cổng cá nhân</t>
        </is>
      </c>
      <c r="F302" s="27" t="inlineStr">
        <is>
          <t>—</t>
        </is>
      </c>
      <c r="G302" s="6" t="inlineStr">
        <is>
          <t>✓</t>
        </is>
      </c>
    </row>
    <row r="303" ht="20" customHeight="1">
      <c r="A303" s="29" t="inlineStr">
        <is>
          <t>M15</t>
        </is>
      </c>
      <c r="B303" s="38" t="inlineStr">
        <is>
          <t>Cổng Học viên (Student Portal) &amp; Kho Công thức Số Độc quyền</t>
        </is>
      </c>
      <c r="C303" s="39" t="inlineStr">
        <is>
          <t>ADD-ON FULL</t>
        </is>
      </c>
      <c r="D303" s="22" t="inlineStr">
        <is>
          <t>Hỗ trợ học viên</t>
        </is>
      </c>
      <c r="E303" s="22" t="inlineStr">
        <is>
          <t>Gửi yêu cầu đăng ký học lại miễn phí hoặc xin bảo lưu lịch học khi bận việc đột xuất</t>
        </is>
      </c>
      <c r="F303" s="27" t="inlineStr">
        <is>
          <t>—</t>
        </is>
      </c>
      <c r="G303" s="6" t="inlineStr">
        <is>
          <t>✓</t>
        </is>
      </c>
    </row>
    <row r="304" ht="20" customHeight="1">
      <c r="A304" s="32" t="inlineStr">
        <is>
          <t>M15</t>
        </is>
      </c>
      <c r="B304" s="36" t="inlineStr">
        <is>
          <t>Cổng Học viên (Student Portal) &amp; Kho Công thức Số Độc quyền</t>
        </is>
      </c>
      <c r="C304" s="37" t="inlineStr">
        <is>
          <t>ADD-ON FULL</t>
        </is>
      </c>
      <c r="D304" s="35" t="inlineStr">
        <is>
          <t>Quản lý Cổng</t>
        </is>
      </c>
      <c r="E304" s="35" t="inlineStr">
        <is>
          <t>Module quản lý tài khoản học viên và phân quyền khóa học trong CMS quản trị</t>
        </is>
      </c>
      <c r="F304" s="27" t="inlineStr">
        <is>
          <t>—</t>
        </is>
      </c>
      <c r="G304" s="6" t="inlineStr">
        <is>
          <t>✓</t>
        </is>
      </c>
    </row>
    <row r="305" ht="20" customHeight="1">
      <c r="A305" s="29" t="inlineStr">
        <is>
          <t>M15</t>
        </is>
      </c>
      <c r="B305" s="38" t="inlineStr">
        <is>
          <t>Cổng Học viên (Student Portal) &amp; Kho Công thức Số Độc quyền</t>
        </is>
      </c>
      <c r="C305" s="39" t="inlineStr">
        <is>
          <t>ADD-ON FULL</t>
        </is>
      </c>
      <c r="D305" s="22" t="inlineStr">
        <is>
          <t>Quản lý Cổng</t>
        </is>
      </c>
      <c r="E305" s="22" t="inlineStr">
        <is>
          <t>Khóa / Mở quyền truy cập tài liệu công thức theo tiến độ học của từng học viên</t>
        </is>
      </c>
      <c r="F305" s="27" t="inlineStr">
        <is>
          <t>—</t>
        </is>
      </c>
      <c r="G305" s="6" t="inlineStr">
        <is>
          <t>✓</t>
        </is>
      </c>
    </row>
    <row r="306" ht="20" customHeight="1">
      <c r="A306" s="32" t="inlineStr">
        <is>
          <t>M16</t>
        </is>
      </c>
      <c r="B306" s="36" t="inlineStr">
        <is>
          <t>CRM Tuyển sinh Tự động, Automation Thông báo (Email / ZNS) &amp; Vận hành Đa cấp</t>
        </is>
      </c>
      <c r="C306" s="37" t="inlineStr">
        <is>
          <t>ADD-ON FULL</t>
        </is>
      </c>
      <c r="D306" s="35" t="inlineStr">
        <is>
          <t>Email Automation</t>
        </is>
      </c>
      <c r="E306" s="35" t="inlineStr">
        <is>
          <t>Tích hợp dịch vụ gửi Transactional Email tự động (Resend / Brevo)</t>
        </is>
      </c>
      <c r="F306" s="27" t="inlineStr">
        <is>
          <t>—</t>
        </is>
      </c>
      <c r="G306" s="6" t="inlineStr">
        <is>
          <t>✓</t>
        </is>
      </c>
    </row>
    <row r="307" ht="20" customHeight="1">
      <c r="A307" s="29" t="inlineStr">
        <is>
          <t>M16</t>
        </is>
      </c>
      <c r="B307" s="38" t="inlineStr">
        <is>
          <t>CRM Tuyển sinh Tự động, Automation Thông báo (Email / ZNS) &amp; Vận hành Đa cấp</t>
        </is>
      </c>
      <c r="C307" s="39" t="inlineStr">
        <is>
          <t>ADD-ON FULL</t>
        </is>
      </c>
      <c r="D307" s="22" t="inlineStr">
        <is>
          <t>Email Automation</t>
        </is>
      </c>
      <c r="E307" s="22" t="inlineStr">
        <is>
          <t>Tự động gửi Thư xác nhận đăng ký tư vấn kèm lộ trình khóa học ngay khi học viên điền form</t>
        </is>
      </c>
      <c r="F307" s="27" t="inlineStr">
        <is>
          <t>—</t>
        </is>
      </c>
      <c r="G307" s="6" t="inlineStr">
        <is>
          <t>✓</t>
        </is>
      </c>
    </row>
    <row r="308" ht="20" customHeight="1">
      <c r="A308" s="32" t="inlineStr">
        <is>
          <t>M16</t>
        </is>
      </c>
      <c r="B308" s="36" t="inlineStr">
        <is>
          <t>CRM Tuyển sinh Tự động, Automation Thông báo (Email / ZNS) &amp; Vận hành Đa cấp</t>
        </is>
      </c>
      <c r="C308" s="37" t="inlineStr">
        <is>
          <t>ADD-ON FULL</t>
        </is>
      </c>
      <c r="D308" s="35" t="inlineStr">
        <is>
          <t>Email Automation</t>
        </is>
      </c>
      <c r="E308" s="35" t="inlineStr">
        <is>
          <t>Tự động gửi Thư xác nhận giữ chỗ thành công khi nhận được chuyển khoản cọc</t>
        </is>
      </c>
      <c r="F308" s="27" t="inlineStr">
        <is>
          <t>—</t>
        </is>
      </c>
      <c r="G308" s="6" t="inlineStr">
        <is>
          <t>✓</t>
        </is>
      </c>
    </row>
    <row r="309" ht="20" customHeight="1">
      <c r="A309" s="29" t="inlineStr">
        <is>
          <t>M16</t>
        </is>
      </c>
      <c r="B309" s="38" t="inlineStr">
        <is>
          <t>CRM Tuyển sinh Tự động, Automation Thông báo (Email / ZNS) &amp; Vận hành Đa cấp</t>
        </is>
      </c>
      <c r="C309" s="39" t="inlineStr">
        <is>
          <t>ADD-ON FULL</t>
        </is>
      </c>
      <c r="D309" s="22" t="inlineStr">
        <is>
          <t>Email Automation</t>
        </is>
      </c>
      <c r="E309" s="22" t="inlineStr">
        <is>
          <t>Tự động gửi Email nhắc lịch khai giảng và hướng dẫn trang phục/dụng cụ trước ngày học 02 ngày</t>
        </is>
      </c>
      <c r="F309" s="27" t="inlineStr">
        <is>
          <t>—</t>
        </is>
      </c>
      <c r="G309" s="6" t="inlineStr">
        <is>
          <t>✓</t>
        </is>
      </c>
    </row>
    <row r="310" ht="20" customHeight="1">
      <c r="A310" s="32" t="inlineStr">
        <is>
          <t>M16</t>
        </is>
      </c>
      <c r="B310" s="36" t="inlineStr">
        <is>
          <t>CRM Tuyển sinh Tự động, Automation Thông báo (Email / ZNS) &amp; Vận hành Đa cấp</t>
        </is>
      </c>
      <c r="C310" s="37" t="inlineStr">
        <is>
          <t>ADD-ON FULL</t>
        </is>
      </c>
      <c r="D310" s="35" t="inlineStr">
        <is>
          <t>Email Automation</t>
        </is>
      </c>
      <c r="E310" s="35" t="inlineStr">
        <is>
          <t>Thư chúc mừng tốt nghiệp và gửi link đánh giá chất lượng khóa học sau buổi bế giảng</t>
        </is>
      </c>
      <c r="F310" s="27" t="inlineStr">
        <is>
          <t>—</t>
        </is>
      </c>
      <c r="G310" s="6" t="inlineStr">
        <is>
          <t>✓</t>
        </is>
      </c>
    </row>
    <row r="311" ht="20" customHeight="1">
      <c r="A311" s="29" t="inlineStr">
        <is>
          <t>M16</t>
        </is>
      </c>
      <c r="B311" s="38" t="inlineStr">
        <is>
          <t>CRM Tuyển sinh Tự động, Automation Thông báo (Email / ZNS) &amp; Vận hành Đa cấp</t>
        </is>
      </c>
      <c r="C311" s="39" t="inlineStr">
        <is>
          <t>ADD-ON FULL</t>
        </is>
      </c>
      <c r="D311" s="22" t="inlineStr">
        <is>
          <t>ZNS / SMS</t>
        </is>
      </c>
      <c r="E311" s="22" t="inlineStr">
        <is>
          <t>Tích hợp tin nhắn Zalo ZNS / SMS Brandname gửi thông báo tuyển sinh</t>
        </is>
      </c>
      <c r="F311" s="27" t="inlineStr">
        <is>
          <t>—</t>
        </is>
      </c>
      <c r="G311" s="6" t="inlineStr">
        <is>
          <t>✓</t>
        </is>
      </c>
    </row>
    <row r="312" ht="20" customHeight="1">
      <c r="A312" s="32" t="inlineStr">
        <is>
          <t>M16</t>
        </is>
      </c>
      <c r="B312" s="36" t="inlineStr">
        <is>
          <t>CRM Tuyển sinh Tự động, Automation Thông báo (Email / ZNS) &amp; Vận hành Đa cấp</t>
        </is>
      </c>
      <c r="C312" s="37" t="inlineStr">
        <is>
          <t>ADD-ON FULL</t>
        </is>
      </c>
      <c r="D312" s="35" t="inlineStr">
        <is>
          <t>ZNS / SMS</t>
        </is>
      </c>
      <c r="E312" s="35" t="inlineStr">
        <is>
          <t>Gửi tin nhắn ZNS xác nhận mã giữ chỗ và số điện thoại hotline của chuyên viên phụ trách</t>
        </is>
      </c>
      <c r="F312" s="27" t="inlineStr">
        <is>
          <t>—</t>
        </is>
      </c>
      <c r="G312" s="6" t="inlineStr">
        <is>
          <t>✓</t>
        </is>
      </c>
    </row>
    <row r="313" ht="20" customHeight="1">
      <c r="A313" s="29" t="inlineStr">
        <is>
          <t>M16</t>
        </is>
      </c>
      <c r="B313" s="38" t="inlineStr">
        <is>
          <t>CRM Tuyển sinh Tự động, Automation Thông báo (Email / ZNS) &amp; Vận hành Đa cấp</t>
        </is>
      </c>
      <c r="C313" s="39" t="inlineStr">
        <is>
          <t>ADD-ON FULL</t>
        </is>
      </c>
      <c r="D313" s="22" t="inlineStr">
        <is>
          <t>ZNS / SMS</t>
        </is>
      </c>
      <c r="E313" s="22" t="inlineStr">
        <is>
          <t>Gửi tin nhắn SMS nhắc lịch khai giảng sáng sớm ngày đầu tiên vào bếp</t>
        </is>
      </c>
      <c r="F313" s="27" t="inlineStr">
        <is>
          <t>—</t>
        </is>
      </c>
      <c r="G313" s="6" t="inlineStr">
        <is>
          <t>✓</t>
        </is>
      </c>
    </row>
    <row r="314" ht="20" customHeight="1">
      <c r="A314" s="32" t="inlineStr">
        <is>
          <t>M16</t>
        </is>
      </c>
      <c r="B314" s="36" t="inlineStr">
        <is>
          <t>CRM Tuyển sinh Tự động, Automation Thông báo (Email / ZNS) &amp; Vận hành Đa cấp</t>
        </is>
      </c>
      <c r="C314" s="37" t="inlineStr">
        <is>
          <t>ADD-ON FULL</t>
        </is>
      </c>
      <c r="D314" s="35" t="inlineStr">
        <is>
          <t>Webhook &amp; Tích hợp</t>
        </is>
      </c>
      <c r="E314" s="35" t="inlineStr">
        <is>
          <t>Đồng bộ dữ liệu Lead tuyển sinh tự động sang Google Sheets thời gian thực phục vụ telesale</t>
        </is>
      </c>
      <c r="F314" s="27" t="inlineStr">
        <is>
          <t>—</t>
        </is>
      </c>
      <c r="G314" s="6" t="inlineStr">
        <is>
          <t>✓</t>
        </is>
      </c>
    </row>
    <row r="315" ht="20" customHeight="1">
      <c r="A315" s="29" t="inlineStr">
        <is>
          <t>M16</t>
        </is>
      </c>
      <c r="B315" s="38" t="inlineStr">
        <is>
          <t>CRM Tuyển sinh Tự động, Automation Thông báo (Email / ZNS) &amp; Vận hành Đa cấp</t>
        </is>
      </c>
      <c r="C315" s="39" t="inlineStr">
        <is>
          <t>ADD-ON FULL</t>
        </is>
      </c>
      <c r="D315" s="22" t="inlineStr">
        <is>
          <t>Webhook &amp; Tích hợp</t>
        </is>
      </c>
      <c r="E315" s="22" t="inlineStr">
        <is>
          <t>Webhook đồng bộ dữ liệu sang phần mềm CRM ngoài (HubSpot / Lark Suite / Bitrix24)</t>
        </is>
      </c>
      <c r="F315" s="27" t="inlineStr">
        <is>
          <t>—</t>
        </is>
      </c>
      <c r="G315" s="6" t="inlineStr">
        <is>
          <t>✓</t>
        </is>
      </c>
    </row>
    <row r="316" ht="20" customHeight="1">
      <c r="A316" s="32" t="inlineStr">
        <is>
          <t>M16</t>
        </is>
      </c>
      <c r="B316" s="36" t="inlineStr">
        <is>
          <t>CRM Tuyển sinh Tự động, Automation Thông báo (Email / ZNS) &amp; Vận hành Đa cấp</t>
        </is>
      </c>
      <c r="C316" s="37" t="inlineStr">
        <is>
          <t>ADD-ON FULL</t>
        </is>
      </c>
      <c r="D316" s="35" t="inlineStr">
        <is>
          <t>Phân quyền quản trị</t>
        </is>
      </c>
      <c r="E316" s="35" t="inlineStr">
        <is>
          <t>Phân quyền người dùng quản trị đa cấp (Multi-role CMS) chuyên biệt cho từng bộ phận</t>
        </is>
      </c>
      <c r="F316" s="27" t="inlineStr">
        <is>
          <t>—</t>
        </is>
      </c>
      <c r="G316" s="6" t="inlineStr">
        <is>
          <t>✓</t>
        </is>
      </c>
    </row>
    <row r="317" ht="20" customHeight="1">
      <c r="A317" s="29" t="inlineStr">
        <is>
          <t>M16</t>
        </is>
      </c>
      <c r="B317" s="38" t="inlineStr">
        <is>
          <t>CRM Tuyển sinh Tự động, Automation Thông báo (Email / ZNS) &amp; Vận hành Đa cấp</t>
        </is>
      </c>
      <c r="C317" s="39" t="inlineStr">
        <is>
          <t>ADD-ON FULL</t>
        </is>
      </c>
      <c r="D317" s="22" t="inlineStr">
        <is>
          <t>Phân quyền quản trị</t>
        </is>
      </c>
      <c r="E317" s="22" t="inlineStr">
        <is>
          <t>Nhóm Super Admin: Toàn quyền cấu hình hệ thống, khóa học, cài đặt và doanh thu</t>
        </is>
      </c>
      <c r="F317" s="27" t="inlineStr">
        <is>
          <t>—</t>
        </is>
      </c>
      <c r="G317" s="6" t="inlineStr">
        <is>
          <t>✓</t>
        </is>
      </c>
    </row>
    <row r="318" ht="20" customHeight="1">
      <c r="A318" s="32" t="inlineStr">
        <is>
          <t>M16</t>
        </is>
      </c>
      <c r="B318" s="36" t="inlineStr">
        <is>
          <t>CRM Tuyển sinh Tự động, Automation Thông báo (Email / ZNS) &amp; Vận hành Đa cấp</t>
        </is>
      </c>
      <c r="C318" s="37" t="inlineStr">
        <is>
          <t>ADD-ON FULL</t>
        </is>
      </c>
      <c r="D318" s="35" t="inlineStr">
        <is>
          <t>Phân quyền quản trị</t>
        </is>
      </c>
      <c r="E318" s="35" t="inlineStr">
        <is>
          <t>Nhóm Chuyên viên Tuyển sinh: Chỉ xem và chăm sóc danh sách Lead học viên được giao</t>
        </is>
      </c>
      <c r="F318" s="27" t="inlineStr">
        <is>
          <t>—</t>
        </is>
      </c>
      <c r="G318" s="6" t="inlineStr">
        <is>
          <t>✓</t>
        </is>
      </c>
    </row>
    <row r="319" ht="20" customHeight="1">
      <c r="A319" s="29" t="inlineStr">
        <is>
          <t>M16</t>
        </is>
      </c>
      <c r="B319" s="38" t="inlineStr">
        <is>
          <t>CRM Tuyển sinh Tự động, Automation Thông báo (Email / ZNS) &amp; Vận hành Đa cấp</t>
        </is>
      </c>
      <c r="C319" s="39" t="inlineStr">
        <is>
          <t>ADD-ON FULL</t>
        </is>
      </c>
      <c r="D319" s="22" t="inlineStr">
        <is>
          <t>Phân quyền quản trị</t>
        </is>
      </c>
      <c r="E319" s="22" t="inlineStr">
        <is>
          <t>Nhóm Kế toán: Chỉ xem, xác nhận và đối soát thanh toán cọc học phí</t>
        </is>
      </c>
      <c r="F319" s="27" t="inlineStr">
        <is>
          <t>—</t>
        </is>
      </c>
      <c r="G319" s="6" t="inlineStr">
        <is>
          <t>✓</t>
        </is>
      </c>
    </row>
    <row r="320" ht="20" customHeight="1">
      <c r="A320" s="32" t="inlineStr">
        <is>
          <t>M16</t>
        </is>
      </c>
      <c r="B320" s="36" t="inlineStr">
        <is>
          <t>CRM Tuyển sinh Tự động, Automation Thông báo (Email / ZNS) &amp; Vận hành Đa cấp</t>
        </is>
      </c>
      <c r="C320" s="37" t="inlineStr">
        <is>
          <t>ADD-ON FULL</t>
        </is>
      </c>
      <c r="D320" s="35" t="inlineStr">
        <is>
          <t>Phân quyền quản trị</t>
        </is>
      </c>
      <c r="E320" s="35" t="inlineStr">
        <is>
          <t>Nhóm Biên tập viên Content: Chỉ tạo và chỉnh sửa bài viết cẩm nang ẩm thực</t>
        </is>
      </c>
      <c r="F320" s="27" t="inlineStr">
        <is>
          <t>—</t>
        </is>
      </c>
      <c r="G320" s="6" t="inlineStr">
        <is>
          <t>✓</t>
        </is>
      </c>
    </row>
    <row r="321" ht="20" customHeight="1">
      <c r="A321" s="29" t="inlineStr">
        <is>
          <t>M16</t>
        </is>
      </c>
      <c r="B321" s="38" t="inlineStr">
        <is>
          <t>CRM Tuyển sinh Tự động, Automation Thông báo (Email / ZNS) &amp; Vận hành Đa cấp</t>
        </is>
      </c>
      <c r="C321" s="39" t="inlineStr">
        <is>
          <t>ADD-ON FULL</t>
        </is>
      </c>
      <c r="D321" s="22" t="inlineStr">
        <is>
          <t>Báo cáo tuyển sinh</t>
        </is>
      </c>
      <c r="E321" s="22" t="inlineStr">
        <is>
          <t>Báo cáo thống kê số lượng lead theo từng kênh (Website, Facebook Ads, Giới thiệu)</t>
        </is>
      </c>
      <c r="F321" s="27" t="inlineStr">
        <is>
          <t>—</t>
        </is>
      </c>
      <c r="G321" s="6" t="inlineStr">
        <is>
          <t>✓</t>
        </is>
      </c>
    </row>
    <row r="322" ht="20" customHeight="1">
      <c r="A322" s="32" t="inlineStr">
        <is>
          <t>M16</t>
        </is>
      </c>
      <c r="B322" s="36" t="inlineStr">
        <is>
          <t>CRM Tuyển sinh Tự động, Automation Thông báo (Email / ZNS) &amp; Vận hành Đa cấp</t>
        </is>
      </c>
      <c r="C322" s="37" t="inlineStr">
        <is>
          <t>ADD-ON FULL</t>
        </is>
      </c>
      <c r="D322" s="35" t="inlineStr">
        <is>
          <t>Báo cáo tuyển sinh</t>
        </is>
      </c>
      <c r="E322" s="35" t="inlineStr">
        <is>
          <t>Báo cáo tỷ lệ chuyển đổi từ đăng ký sang nộp cọc và nhập học chính thức</t>
        </is>
      </c>
      <c r="F322" s="27" t="inlineStr">
        <is>
          <t>—</t>
        </is>
      </c>
      <c r="G322" s="6" t="inlineStr">
        <is>
          <t>✓</t>
        </is>
      </c>
    </row>
    <row r="323" ht="20" customHeight="1">
      <c r="A323" s="29" t="inlineStr">
        <is>
          <t>M16</t>
        </is>
      </c>
      <c r="B323" s="38" t="inlineStr">
        <is>
          <t>CRM Tuyển sinh Tự động, Automation Thông báo (Email / ZNS) &amp; Vận hành Đa cấp</t>
        </is>
      </c>
      <c r="C323" s="39" t="inlineStr">
        <is>
          <t>ADD-ON FULL</t>
        </is>
      </c>
      <c r="D323" s="22" t="inlineStr">
        <is>
          <t>Audit Log</t>
        </is>
      </c>
      <c r="E323" s="22" t="inlineStr">
        <is>
          <t>Nhật ký hoạt động (Audit Log) ghi nhận toàn bộ thao tác cập nhật dữ liệu của nhân viên</t>
        </is>
      </c>
      <c r="F323" s="27" t="inlineStr">
        <is>
          <t>—</t>
        </is>
      </c>
      <c r="G323" s="6" t="inlineStr">
        <is>
          <t>✓</t>
        </is>
      </c>
    </row>
    <row r="324">
      <c r="A324" s="40" t="n"/>
      <c r="B324" s="40" t="n"/>
      <c r="C324" s="40" t="n"/>
      <c r="D324" s="41" t="inlineStr">
        <is>
          <t>TỔNG SỐ HẠNG MỤC TÍNH NĂNG</t>
        </is>
      </c>
      <c r="E324" s="40" t="n"/>
      <c r="F324" s="42">
        <f>COUNTIF(F5:F323,"✓")</f>
        <v/>
      </c>
      <c r="G324" s="43">
        <f>COUNTIF(G5:G323,"✓")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36" customWidth="1" min="2" max="2"/>
    <col width="44" customWidth="1" min="3" max="3"/>
    <col width="10" customWidth="1" min="4" max="4"/>
    <col width="10" customWidth="1" min="5" max="5"/>
    <col width="80" customWidth="1" min="6" max="6"/>
  </cols>
  <sheetData>
    <row r="1" ht="36" customHeight="1">
      <c r="A1" s="28" t="inlineStr">
        <is>
          <t>DANH SÁCH TRANG / MÀN HÌNH UI THỰC TẾ BÀN GIAO – DUAXCAR KITCHEN</t>
        </is>
      </c>
    </row>
    <row r="2" ht="22" customHeight="1">
      <c r="A2" s="2" t="inlineStr">
        <is>
          <t>Gói Core: 29 trang/màn hình. Gói Full: 40 trang/màn hình. Chi tiết danh mục giao diện thực tế khách hàng nghiệm thu.</t>
        </is>
      </c>
    </row>
    <row r="4" ht="26" customHeight="1">
      <c r="A4" s="20" t="inlineStr">
        <is>
          <t>Nhóm màn hình</t>
        </is>
      </c>
      <c r="B4" s="20" t="inlineStr">
        <is>
          <t>Trang / Màn hình</t>
        </is>
      </c>
      <c r="C4" s="20" t="inlineStr">
        <is>
          <t>Mục đích sử dụng</t>
        </is>
      </c>
      <c r="D4" s="12" t="inlineStr">
        <is>
          <t>Core</t>
        </is>
      </c>
      <c r="E4" s="12" t="inlineStr">
        <is>
          <t>Full</t>
        </is>
      </c>
      <c r="F4" s="20" t="inlineStr">
        <is>
          <t>Thành phần UI chính</t>
        </is>
      </c>
    </row>
    <row r="5" ht="22" customHeight="1">
      <c r="A5" s="30" t="inlineStr">
        <is>
          <t>Trang chủ &amp; Tổng quan</t>
        </is>
      </c>
      <c r="B5" s="44" t="inlineStr">
        <is>
          <t>Trang chủ (Homepage)</t>
        </is>
      </c>
      <c r="C5" s="22" t="inlineStr">
        <is>
          <t>Định vị thương hiệu học viện ẩm thực, dẫn học viên xem khóa học và đăng ký tư vấn</t>
        </is>
      </c>
      <c r="D5" s="24" t="inlineStr">
        <is>
          <t>✓</t>
        </is>
      </c>
      <c r="E5" s="6" t="inlineStr">
        <is>
          <t>✓</t>
        </is>
      </c>
      <c r="F5" s="22" t="inlineStr">
        <is>
          <t>Hero carousel; USP đào tạo thực chiến; Danh mục khóa học; Khóa học tiêu biểu; Đội ngũ Master Chef; Testimonials học viên; CTA tư vấn; Footer trust</t>
        </is>
      </c>
    </row>
    <row r="6" ht="22" customHeight="1">
      <c r="A6" s="33" t="inlineStr">
        <is>
          <t>Giới thiệu &amp; Uy tín</t>
        </is>
      </c>
      <c r="B6" s="45" t="inlineStr">
        <is>
          <t>Về DuaxCar Kitchen (/ve-duaxcar)</t>
        </is>
      </c>
      <c r="C6" s="35" t="inlineStr">
        <is>
          <t>Xây dựng niềm tin, câu chuyện gìn giữ ẩm thực Việt và triết lý đào tạo thực chiến mở quán</t>
        </is>
      </c>
      <c r="D6" s="24" t="inlineStr">
        <is>
          <t>✓</t>
        </is>
      </c>
      <c r="E6" s="6" t="inlineStr">
        <is>
          <t>✓</t>
        </is>
      </c>
      <c r="F6" s="35" t="inlineStr">
        <is>
          <t>Lịch sử hình thành; Tầm nhìn &amp; Sứ mệnh; Giới thiệu xưởng bếp; Cam kết truyền nghề; Đội ngũ Nghệ nhân Bàn tay vàng; CTA tham quan bếp</t>
        </is>
      </c>
    </row>
    <row r="7" ht="22" customHeight="1">
      <c r="A7" s="30" t="inlineStr">
        <is>
          <t>Đào tạo &amp; Khóa học</t>
        </is>
      </c>
      <c r="B7" s="44" t="inlineStr">
        <is>
          <t>Danh mục khóa học tổng hợp (/khoa-hoc)</t>
        </is>
      </c>
      <c r="C7" s="22" t="inlineStr">
        <is>
          <t>Học viên duyệt và tra cứu các khóa học theo hình thức và chuyên đề</t>
        </is>
      </c>
      <c r="D7" s="24" t="inlineStr">
        <is>
          <t>✓</t>
        </is>
      </c>
      <c r="E7" s="6" t="inlineStr">
        <is>
          <t>✓</t>
        </is>
      </c>
      <c r="F7" s="22" t="inlineStr">
        <is>
          <t>Bộ lọc Onsite/Online; Lọc chuyên đề món (Món sáng, Ốc &amp; hải sản, Lẩu nướng...); Thanh tìm kiếm; Thẻ khóa học trực quan; Trạng thái tuyển sinh</t>
        </is>
      </c>
    </row>
    <row r="8" ht="22" customHeight="1">
      <c r="A8" s="33" t="inlineStr">
        <is>
          <t>Đào tạo &amp; Khóa học</t>
        </is>
      </c>
      <c r="B8" s="45" t="inlineStr">
        <is>
          <t>Khóa học theo chuyên đề món</t>
        </is>
      </c>
      <c r="C8" s="35" t="inlineStr">
        <is>
          <t>Trang đích chuyên sâu cho từng nhóm món ăn cụ thể</t>
        </is>
      </c>
      <c r="D8" s="24" t="inlineStr">
        <is>
          <t>✓</t>
        </is>
      </c>
      <c r="E8" s="6" t="inlineStr">
        <is>
          <t>✓</t>
        </is>
      </c>
      <c r="F8" s="35" t="inlineStr">
        <is>
          <t>Breadcrumb; Giới thiệu chuyên đề; Bộ lọc thời lượng &amp; học phí; Danh sách khóa học thuộc chuyên đề; Form đăng ký chuyên đề</t>
        </is>
      </c>
    </row>
    <row r="9" ht="22" customHeight="1">
      <c r="A9" s="30" t="inlineStr">
        <is>
          <t>Đào tạo &amp; Khóa học</t>
        </is>
      </c>
      <c r="B9" s="44" t="inlineStr">
        <is>
          <t>Chi tiết khóa học (/khoa-hoc/[slug])</t>
        </is>
      </c>
      <c r="C9" s="22" t="inlineStr">
        <is>
          <t>Trang chuyển đổi ra quyết định đăng ký học quan trọng nhất</t>
        </is>
      </c>
      <c r="D9" s="24" t="inlineStr">
        <is>
          <t>✓</t>
        </is>
      </c>
      <c r="E9" s="6" t="inlineStr">
        <is>
          <t>✓</t>
        </is>
      </c>
      <c r="F9" s="22" t="inlineStr">
        <is>
          <t>Hero khóa học; Gallery ảnh món ăn; Thông số sĩ số &amp; thời lượng; Highlights quyền lợi; Curriculum Accordion từng buổi; Giảng viên đứng lớp; Sticky CTA bar; Related courses</t>
        </is>
      </c>
    </row>
    <row r="10" ht="22" customHeight="1">
      <c r="A10" s="33" t="inlineStr">
        <is>
          <t>Đào tạo &amp; Khóa học</t>
        </is>
      </c>
      <c r="B10" s="45" t="inlineStr">
        <is>
          <t>Lịch khai giảng (/lich-khai-giang)</t>
        </is>
      </c>
      <c r="C10" s="35" t="inlineStr">
        <is>
          <t>Xem lịch mở lớp trong tháng và giữ chỗ lớp phù hợp thời gian</t>
        </is>
      </c>
      <c r="D10" s="24" t="inlineStr">
        <is>
          <t>✓</t>
        </is>
      </c>
      <c r="E10" s="6" t="inlineStr">
        <is>
          <t>✓</t>
        </is>
      </c>
      <c r="F10" s="35" t="inlineStr">
        <is>
          <t>Dòng thời gian các lớp mở trong tháng; Ca học sáng/chiều/tối; Địa điểm xưởng bếp; Trạng thái slot còn chỗ; Nút Đăng ký giữ chỗ nhanh</t>
        </is>
      </c>
    </row>
    <row r="11" ht="22" customHeight="1">
      <c r="A11" s="30" t="inlineStr">
        <is>
          <t>Đào tạo &amp; Khóa học</t>
        </is>
      </c>
      <c r="B11" s="44" t="inlineStr">
        <is>
          <t>Đội ngũ Giảng viên</t>
        </is>
      </c>
      <c r="C11" s="22" t="inlineStr">
        <is>
          <t>Danh sách các Master Chef và chuyên gia ẩm thực hàng đầu</t>
        </is>
      </c>
      <c r="D11" s="24" t="inlineStr">
        <is>
          <t>✓</t>
        </is>
      </c>
      <c r="E11" s="6" t="inlineStr">
        <is>
          <t>✓</t>
        </is>
      </c>
      <c r="F11" s="22" t="inlineStr">
        <is>
          <t>Danh sách Master Chef; Danh hiệu Bàn tay vàng; Số năm kinh nghiệm; Triết lý nghề; Các khóa học phụ trách</t>
        </is>
      </c>
    </row>
    <row r="12" ht="22" customHeight="1">
      <c r="A12" s="33" t="inlineStr">
        <is>
          <t>Đào tạo &amp; Khóa học</t>
        </is>
      </c>
      <c r="B12" s="45" t="inlineStr">
        <is>
          <t>Chi tiết Giảng viên</t>
        </is>
      </c>
      <c r="C12" s="35" t="inlineStr">
        <is>
          <t>Hồ sơ chuyên gia chi tiết gia tăng uy tín học viện</t>
        </is>
      </c>
      <c r="D12" s="24" t="inlineStr">
        <is>
          <t>✓</t>
        </is>
      </c>
      <c r="E12" s="6" t="inlineStr">
        <is>
          <t>✓</t>
        </is>
      </c>
      <c r="F12" s="35" t="inlineStr">
        <is>
          <t>Chân dung chất lượng cao; Tiểu sử sự nghiệp; Bằng cấp &amp; Giải thưởng; Quote tâm đắc; Danh sách khóa giảng dạy trực tiếp</t>
        </is>
      </c>
    </row>
    <row r="13" ht="22" customHeight="1">
      <c r="A13" s="30" t="inlineStr">
        <is>
          <t>Tuyển sinh &amp; Lead</t>
        </is>
      </c>
      <c r="B13" s="44" t="inlineStr">
        <is>
          <t>Modal Đăng ký tư vấn khóa học</t>
        </is>
      </c>
      <c r="C13" s="22" t="inlineStr">
        <is>
          <t>Thu thập thông tin học viên nhanh từ mọi điểm chạm trên website</t>
        </is>
      </c>
      <c r="D13" s="24" t="inlineStr">
        <is>
          <t>✓</t>
        </is>
      </c>
      <c r="E13" s="6" t="inlineStr">
        <is>
          <t>✓</t>
        </is>
      </c>
      <c r="F13" s="22" t="inlineStr">
        <is>
          <t>Form nhập Họ tên, SĐT, Email, Khóa học quan tâm, Cơ sở đào tạo, Nhu cầu học; Nút gửi yêu cầu; Trạng thái loading</t>
        </is>
      </c>
    </row>
    <row r="14" ht="22" customHeight="1">
      <c r="A14" s="33" t="inlineStr">
        <is>
          <t>Tuyển sinh &amp; Lead</t>
        </is>
      </c>
      <c r="B14" s="45" t="inlineStr">
        <is>
          <t>Màn hình Xác nhận Đăng ký thành công</t>
        </is>
      </c>
      <c r="C14" s="35" t="inlineStr">
        <is>
          <t>Xác nhận đã nhận thông tin và hướng dẫn các bước tiếp theo</t>
        </is>
      </c>
      <c r="D14" s="24" t="inlineStr">
        <is>
          <t>✓</t>
        </is>
      </c>
      <c r="E14" s="6" t="inlineStr">
        <is>
          <t>✓</t>
        </is>
      </c>
      <c r="F14" s="35" t="inlineStr">
        <is>
          <t>Thông báo thành công; Mã đơn đăng ký; Lời nhắc chuyên viên sẽ gọi lại; Hotline hỗ trợ nhanh</t>
        </is>
      </c>
    </row>
    <row r="15" ht="22" customHeight="1">
      <c r="A15" s="30" t="inlineStr">
        <is>
          <t>Liên hệ &amp; Tư vấn</t>
        </is>
      </c>
      <c r="B15" s="44" t="inlineStr">
        <is>
          <t>Trang Liên hệ (/lien-he)</t>
        </is>
      </c>
      <c r="C15" s="22" t="inlineStr">
        <is>
          <t>Kênh kết nối trực tiếp, đặt lịch tham quan xưởng bếp</t>
        </is>
      </c>
      <c r="D15" s="24" t="inlineStr">
        <is>
          <t>✓</t>
        </is>
      </c>
      <c r="E15" s="6" t="inlineStr">
        <is>
          <t>✓</t>
        </is>
      </c>
      <c r="F15" s="22" t="inlineStr">
        <is>
          <t>Hotline; Zalo OA; Email tuyển sinh; Địa chỉ các cơ sở đào tạo; Form để lại tin nhắn; Bản đồ Google Maps nhúng</t>
        </is>
      </c>
    </row>
    <row r="16" ht="22" customHeight="1">
      <c r="A16" s="33" t="inlineStr">
        <is>
          <t>Hỗ trợ &amp; Hỏi đáp</t>
        </is>
      </c>
      <c r="B16" s="45" t="inlineStr">
        <is>
          <t>Trang FAQ Hỏi đáp (/faq)</t>
        </is>
      </c>
      <c r="C16" s="35" t="inlineStr">
        <is>
          <t>Giải đáp nhanh các băn khoăn về học phí, lịch học, mở quán</t>
        </is>
      </c>
      <c r="D16" s="24" t="inlineStr">
        <is>
          <t>✓</t>
        </is>
      </c>
      <c r="E16" s="6" t="inlineStr">
        <is>
          <t>✓</t>
        </is>
      </c>
      <c r="F16" s="35" t="inlineStr">
        <is>
          <t>Tìm kiếm câu hỏi; Accordion câu hỏi theo chủ đề (Học phí, Bằng cấp, Hỗ trợ mở quán, Địa điểm); CTA tư vấn trực tiếp</t>
        </is>
      </c>
    </row>
    <row r="17" ht="22" customHeight="1">
      <c r="A17" s="30" t="inlineStr">
        <is>
          <t>Chính sách &amp; Pháp lý</t>
        </is>
      </c>
      <c r="B17" s="44" t="inlineStr">
        <is>
          <t>Quy chế đào tạo &amp; Điều khoản (/chinh-sach/dieu-khoan)</t>
        </is>
      </c>
      <c r="C17" s="22" t="inlineStr">
        <is>
          <t>Quy định học viên, quyền lợi và nghĩa vụ khi tham gia học</t>
        </is>
      </c>
      <c r="D17" s="24" t="inlineStr">
        <is>
          <t>✓</t>
        </is>
      </c>
      <c r="E17" s="6" t="inlineStr">
        <is>
          <t>✓</t>
        </is>
      </c>
      <c r="F17" s="22" t="inlineStr">
        <is>
          <t>Quy chế lớp học; Cam kết chất lượng; Quyền bảo lưu khóa học; Bản quyền công thức</t>
        </is>
      </c>
    </row>
    <row r="18" ht="22" customHeight="1">
      <c r="A18" s="33" t="inlineStr">
        <is>
          <t>Chính sách &amp; Pháp lý</t>
        </is>
      </c>
      <c r="B18" s="45" t="inlineStr">
        <is>
          <t>Chính sách bảo mật thông tin (/chinh-sach/bao-mat)</t>
        </is>
      </c>
      <c r="C18" s="35" t="inlineStr">
        <is>
          <t>Cam kết bảo mật dữ liệu học viên theo quy định pháp luật</t>
        </is>
      </c>
      <c r="D18" s="24" t="inlineStr">
        <is>
          <t>✓</t>
        </is>
      </c>
      <c r="E18" s="6" t="inlineStr">
        <is>
          <t>✓</t>
        </is>
      </c>
      <c r="F18" s="35" t="inlineStr">
        <is>
          <t>Mục đích thu thập; Phạm vi sử dụng; Cam kết không chia sẻ bên thứ ba; Quyền yêu cầu xóa thông tin</t>
        </is>
      </c>
    </row>
    <row r="19" ht="22" customHeight="1">
      <c r="A19" s="30" t="inlineStr">
        <is>
          <t>Chính sách &amp; Pháp lý</t>
        </is>
      </c>
      <c r="B19" s="44" t="inlineStr">
        <is>
          <t>Chính sách học phí &amp; Hoàn cọc (/chinh-sach/thanh-toan)</t>
        </is>
      </c>
      <c r="C19" s="22" t="inlineStr">
        <is>
          <t>Quy chế thu học phí, quy định cọc giữ chỗ và điều kiện hoàn bảo lưu</t>
        </is>
      </c>
      <c r="D19" s="24" t="inlineStr">
        <is>
          <t>✓</t>
        </is>
      </c>
      <c r="E19" s="6" t="inlineStr">
        <is>
          <t>✓</t>
        </is>
      </c>
      <c r="F19" s="22" t="inlineStr">
        <is>
          <t>Hình thức đóng học phí; Quy định cọc giữ chỗ; Thời hạn bảo lưu học tập 12 tháng; Điều kiện giải quyết hoàn phí</t>
        </is>
      </c>
    </row>
    <row r="20" ht="22" customHeight="1">
      <c r="A20" s="33" t="inlineStr">
        <is>
          <t>Nội dung &amp; Cẩm nang</t>
        </is>
      </c>
      <c r="B20" s="45" t="inlineStr">
        <is>
          <t>Danh sách Cẩm nang ẩm thực (/tin-tuc)</t>
        </is>
      </c>
      <c r="C20" s="35" t="inlineStr">
        <is>
          <t>Chia sẻ kiến thức nấu ăn và kinh nghiệm kinh doanh F&amp;B thu hút traffic</t>
        </is>
      </c>
      <c r="D20" s="24" t="inlineStr">
        <is>
          <t>✓</t>
        </is>
      </c>
      <c r="E20" s="6" t="inlineStr">
        <is>
          <t>✓</t>
        </is>
      </c>
      <c r="F20" s="35" t="inlineStr">
        <is>
          <t>Featured article; Danh mục chuyên đề; Thẻ bài viết; Tác giả; Thời gian đọc; Tìm kiếm bài viết</t>
        </is>
      </c>
    </row>
    <row r="21" ht="22" customHeight="1">
      <c r="A21" s="30" t="inlineStr">
        <is>
          <t>Nội dung &amp; Cẩm nang</t>
        </is>
      </c>
      <c r="B21" s="44" t="inlineStr">
        <is>
          <t>Chi tiết bài viết Cẩm nang (/tin-tuc/[slug])</t>
        </is>
      </c>
      <c r="C21" s="22" t="inlineStr">
        <is>
          <t>Bài viết chuẩn SEO cung cấp giá trị chuyên sâu cho người đọc</t>
        </is>
      </c>
      <c r="D21" s="24" t="inlineStr">
        <is>
          <t>✓</t>
        </is>
      </c>
      <c r="E21" s="6" t="inlineStr">
        <is>
          <t>✓</t>
        </is>
      </c>
      <c r="F21" s="22" t="inlineStr">
        <is>
          <t>Tiêu đề chuẩn SEO; Tác giả Master Chef; Mục lục tự động (TOC); Nội dung định dạng đẹp; Khối bài liên quan; CTA khóa học</t>
        </is>
      </c>
    </row>
    <row r="22" ht="22" customHeight="1">
      <c r="A22" s="33" t="inlineStr">
        <is>
          <t>Hệ thống</t>
        </is>
      </c>
      <c r="B22" s="45" t="inlineStr">
        <is>
          <t>Trang 404 Không tìm thấy trang</t>
        </is>
      </c>
      <c r="C22" s="35" t="inlineStr">
        <is>
          <t>Điều hướng học viên khi truy cập link sai hoặc hết hạn</t>
        </is>
      </c>
      <c r="D22" s="24" t="inlineStr">
        <is>
          <t>✓</t>
        </is>
      </c>
      <c r="E22" s="6" t="inlineStr">
        <is>
          <t>✓</t>
        </is>
      </c>
      <c r="F22" s="35" t="inlineStr">
        <is>
          <t>Thông báo thân thiện; Nút quay lại trang chủ; Gợi ý các khóa học đang tuyển sinh nổi bật</t>
        </is>
      </c>
    </row>
    <row r="23" ht="22" customHeight="1">
      <c r="A23" s="30" t="inlineStr">
        <is>
          <t>Quản trị CMS</t>
        </is>
      </c>
      <c r="B23" s="44" t="inlineStr">
        <is>
          <t>Đăng nhập Quản trị (/login)</t>
        </is>
      </c>
      <c r="C23" s="22" t="inlineStr">
        <is>
          <t>Xác thực an toàn cho cán bộ tuyển sinh và quản trị viên</t>
        </is>
      </c>
      <c r="D23" s="24" t="inlineStr">
        <is>
          <t>✓</t>
        </is>
      </c>
      <c r="E23" s="6" t="inlineStr">
        <is>
          <t>✓</t>
        </is>
      </c>
      <c r="F23" s="22" t="inlineStr">
        <is>
          <t>Form email/password; Xác thực Supabase Auth; Thông báo lỗi bảo mật</t>
        </is>
      </c>
    </row>
    <row r="24" ht="22" customHeight="1">
      <c r="A24" s="33" t="inlineStr">
        <is>
          <t>Quản trị CMS</t>
        </is>
      </c>
      <c r="B24" s="45" t="inlineStr">
        <is>
          <t>Dashboard Tổng quan Tuyển sinh (/admin)</t>
        </is>
      </c>
      <c r="C24" s="35" t="inlineStr">
        <is>
          <t>Thống kê chỉ số tuyển sinh và công việc cần xử lý trong ngày</t>
        </is>
      </c>
      <c r="D24" s="24" t="inlineStr">
        <is>
          <t>✓</t>
        </is>
      </c>
      <c r="E24" s="6" t="inlineStr">
        <is>
          <t>✓</t>
        </is>
      </c>
      <c r="F24" s="35" t="inlineStr">
        <is>
          <t>Thống kê lead mới; Tổng số khóa học; Danh sách học viên cần gọi tư vấn gấp; Lối tắt chức năng</t>
        </is>
      </c>
    </row>
    <row r="25" ht="22" customHeight="1">
      <c r="A25" s="30" t="inlineStr">
        <is>
          <t>Quản trị CMS</t>
        </is>
      </c>
      <c r="B25" s="44" t="inlineStr">
        <is>
          <t>Quản lý Khóa học (/admin/khoa-hoc)</t>
        </is>
      </c>
      <c r="C25" s="22" t="inlineStr">
        <is>
          <t>Danh sách toàn bộ khóa học trong học viện</t>
        </is>
      </c>
      <c r="D25" s="24" t="inlineStr">
        <is>
          <t>✓</t>
        </is>
      </c>
      <c r="E25" s="6" t="inlineStr">
        <is>
          <t>✓</t>
        </is>
      </c>
      <c r="F25" s="22" t="inlineStr">
        <is>
          <t>Bảng khóa học; Bộ lọc chuyên mục; Bật/tắt trạng thái nổi bật; Nút thêm mới và sửa</t>
        </is>
      </c>
    </row>
    <row r="26" ht="22" customHeight="1">
      <c r="A26" s="33" t="inlineStr">
        <is>
          <t>Quản trị CMS</t>
        </is>
      </c>
      <c r="B26" s="45" t="inlineStr">
        <is>
          <t>Chỉnh sửa Khóa học &amp; Curriculum</t>
        </is>
      </c>
      <c r="C26" s="35" t="inlineStr">
        <is>
          <t>Form chi tiết cấu hình khóa học và giáo trình theo buổi</t>
        </is>
      </c>
      <c r="D26" s="24" t="inlineStr">
        <is>
          <t>✓</t>
        </is>
      </c>
      <c r="E26" s="6" t="inlineStr">
        <is>
          <t>✓</t>
        </is>
      </c>
      <c r="F26" s="35" t="inlineStr">
        <is>
          <t>Thông tin khóa, học phí, sĩ số; Curriculum Builder từng buổi; Highlights tags; Chọn ảnh Media</t>
        </is>
      </c>
    </row>
    <row r="27" ht="22" customHeight="1">
      <c r="A27" s="30" t="inlineStr">
        <is>
          <t>Quản trị CMS</t>
        </is>
      </c>
      <c r="B27" s="44" t="inlineStr">
        <is>
          <t>Quản lý Giảng viên (/admin/giang-vien)</t>
        </is>
      </c>
      <c r="C27" s="22" t="inlineStr">
        <is>
          <t>Danh sách giảng viên Master Chef</t>
        </is>
      </c>
      <c r="D27" s="24" t="inlineStr">
        <is>
          <t>✓</t>
        </is>
      </c>
      <c r="E27" s="6" t="inlineStr">
        <is>
          <t>✓</t>
        </is>
      </c>
      <c r="F27" s="22" t="inlineStr">
        <is>
          <t>Bảng giảng viên; Thêm mới; Chỉnh sửa thành tựu; Gán khóa học; Chọn ảnh chân dung</t>
        </is>
      </c>
    </row>
    <row r="28" ht="22" customHeight="1">
      <c r="A28" s="33" t="inlineStr">
        <is>
          <t>Quản trị CMS</t>
        </is>
      </c>
      <c r="B28" s="45" t="inlineStr">
        <is>
          <t>Quản lý Đơn đăng ký học viên (/admin/dang-ky)</t>
        </is>
      </c>
      <c r="C28" s="35" t="inlineStr">
        <is>
          <t>Quản lý danh sách Lead tuyển sinh và trạng thái tư vấn</t>
        </is>
      </c>
      <c r="D28" s="24" t="inlineStr">
        <is>
          <t>✓</t>
        </is>
      </c>
      <c r="E28" s="6" t="inlineStr">
        <is>
          <t>✓</t>
        </is>
      </c>
      <c r="F28" s="35" t="inlineStr">
        <is>
          <t>Bảng lead; Lọc theo khóa học &amp; trạng thái; Tìm kiếm SĐT; Cập nhật trạng thái xử lý; Ghi chú nội bộ</t>
        </is>
      </c>
    </row>
    <row r="29" ht="22" customHeight="1">
      <c r="A29" s="30" t="inlineStr">
        <is>
          <t>Quản trị CMS</t>
        </is>
      </c>
      <c r="B29" s="44" t="inlineStr">
        <is>
          <t>Quản lý Bài viết Cẩm nang (/admin/tin-tuc)</t>
        </is>
      </c>
      <c r="C29" s="22" t="inlineStr">
        <is>
          <t>Danh sách các bài viết tin tức &amp; cẩm nang ẩm thực</t>
        </is>
      </c>
      <c r="D29" s="24" t="inlineStr">
        <is>
          <t>✓</t>
        </is>
      </c>
      <c r="E29" s="6" t="inlineStr">
        <is>
          <t>✓</t>
        </is>
      </c>
      <c r="F29" s="22" t="inlineStr">
        <is>
          <t>Bảng bài viết; Lọc chuyên mục; Trạng thái hiển thị; Nút thêm mới và chỉnh sửa</t>
        </is>
      </c>
    </row>
    <row r="30" ht="22" customHeight="1">
      <c r="A30" s="33" t="inlineStr">
        <is>
          <t>Quản trị CMS</t>
        </is>
      </c>
      <c r="B30" s="45" t="inlineStr">
        <is>
          <t>Soạn thảo Bài viết Rich Text Editor</t>
        </is>
      </c>
      <c r="C30" s="35" t="inlineStr">
        <is>
          <t>Trình soạn thảo văn bản phong phú cho bài viết blog</t>
        </is>
      </c>
      <c r="D30" s="24" t="inlineStr">
        <is>
          <t>✓</t>
        </is>
      </c>
      <c r="E30" s="6" t="inlineStr">
        <is>
          <t>✓</t>
        </is>
      </c>
      <c r="F30" s="35" t="inlineStr">
        <is>
          <t>Rich Text Editor; Định dạng tiêu đề H2/H3; Chèn ảnh từ Media; Cấu hình SEO slug &amp; excerpt</t>
        </is>
      </c>
    </row>
    <row r="31" ht="22" customHeight="1">
      <c r="A31" s="30" t="inlineStr">
        <is>
          <t>Quản trị CMS</t>
        </is>
      </c>
      <c r="B31" s="44" t="inlineStr">
        <is>
          <t>Thư viện Media Tập trung (/admin/media)</t>
        </is>
      </c>
      <c r="C31" s="22" t="inlineStr">
        <is>
          <t>Quản lý kho tài nguyên hình ảnh món ăn và video</t>
        </is>
      </c>
      <c r="D31" s="24" t="inlineStr">
        <is>
          <t>✓</t>
        </is>
      </c>
      <c r="E31" s="6" t="inlineStr">
        <is>
          <t>✓</t>
        </is>
      </c>
      <c r="F31" s="22" t="inlineStr">
        <is>
          <t>Lưới ảnh thumbnail; Nén ảnh WebP tự động khi upload; Lightbox phóng to; Sao chép URL; Xóa ảnh</t>
        </is>
      </c>
    </row>
    <row r="32" ht="22" customHeight="1">
      <c r="A32" s="33" t="inlineStr">
        <is>
          <t>Quản trị CMS</t>
        </is>
      </c>
      <c r="B32" s="45" t="inlineStr">
        <is>
          <t>Quản lý FAQ &amp; Chính sách (/admin/faq, /admin/chinh-sach)</t>
        </is>
      </c>
      <c r="C32" s="35" t="inlineStr">
        <is>
          <t>Quản lý câu hỏi thường gặp và văn bản pháp lý</t>
        </is>
      </c>
      <c r="D32" s="24" t="inlineStr">
        <is>
          <t>✓</t>
        </is>
      </c>
      <c r="E32" s="6" t="inlineStr">
        <is>
          <t>✓</t>
        </is>
      </c>
      <c r="F32" s="35" t="inlineStr">
        <is>
          <t>CRUD câu hỏi FAQ theo nhóm; Trình biên tập nội dung các trang chính sách pháp lý</t>
        </is>
      </c>
    </row>
    <row r="33" ht="22" customHeight="1">
      <c r="A33" s="30" t="inlineStr">
        <is>
          <t>Quản trị CMS</t>
        </is>
      </c>
      <c r="B33" s="44" t="inlineStr">
        <is>
          <t>Cài đặt Hệ thống &amp; Thương hiệu (/admin/cai-dat)</t>
        </is>
      </c>
      <c r="C33" s="22" t="inlineStr">
        <is>
          <t>Cấu hình hotline, địa chỉ cơ sở, social và SEO mặc định</t>
        </is>
      </c>
      <c r="D33" s="24" t="inlineStr">
        <is>
          <t>✓</t>
        </is>
      </c>
      <c r="E33" s="6" t="inlineStr">
        <is>
          <t>✓</t>
        </is>
      </c>
      <c r="F33" s="22" t="inlineStr">
        <is>
          <t>Cấu hình tên trung tâm, slogan, hotline, địa chỉ các bếp, link fanpage/zalo/tiktok, banner top</t>
        </is>
      </c>
    </row>
    <row r="34" ht="22" customHeight="1">
      <c r="A34" s="33" t="inlineStr">
        <is>
          <t>Full – Thanh toán</t>
        </is>
      </c>
      <c r="B34" s="45" t="inlineStr">
        <is>
          <t>Cổng chuyển khoản VietQR tự động</t>
        </is>
      </c>
      <c r="C34" s="35" t="inlineStr">
        <is>
          <t>Học viên quét mã QR thanh toán cọc giữ chỗ tức thì</t>
        </is>
      </c>
      <c r="D34" s="27" t="inlineStr">
        <is>
          <t>—</t>
        </is>
      </c>
      <c r="E34" s="6" t="inlineStr">
        <is>
          <t>✓</t>
        </is>
      </c>
      <c r="F34" s="35" t="inlineStr">
        <is>
          <t>Mã QR động đúng số tiền cọc; Thông tin tài khoản ngân hàng trung tâm; Cú pháp chuyển khoản; Hướng dẫn xác nhận</t>
        </is>
      </c>
    </row>
    <row r="35" ht="22" customHeight="1">
      <c r="A35" s="30" t="inlineStr">
        <is>
          <t>Full – Thanh toán</t>
        </is>
      </c>
      <c r="B35" s="44" t="inlineStr">
        <is>
          <t>Kết quả thanh toán học phí qua Gateway</t>
        </is>
      </c>
      <c r="C35" s="22" t="inlineStr">
        <is>
          <t>Thông báo kết quả sau khi thanh toán qua VNPay/MoMo</t>
        </is>
      </c>
      <c r="D35" s="27" t="inlineStr">
        <is>
          <t>—</t>
        </is>
      </c>
      <c r="E35" s="6" t="inlineStr">
        <is>
          <t>✓</t>
        </is>
      </c>
      <c r="F35" s="22" t="inlineStr">
        <is>
          <t>Mã giao dịch điện tử; Trạng thái thành công/thất bại; Biên lai đặt cọc; Nút quay về trang khóa học</t>
        </is>
      </c>
    </row>
    <row r="36" ht="22" customHeight="1">
      <c r="A36" s="33" t="inlineStr">
        <is>
          <t>Full – Cổng Học viên</t>
        </is>
      </c>
      <c r="B36" s="45" t="inlineStr">
        <is>
          <t>Đăng nhập / Đăng ký Cổng học viên</t>
        </is>
      </c>
      <c r="C36" s="35" t="inlineStr">
        <is>
          <t>Học viên đăng nhập để tra cứu lịch học và tài liệu công thức</t>
        </is>
      </c>
      <c r="D36" s="27" t="inlineStr">
        <is>
          <t>—</t>
        </is>
      </c>
      <c r="E36" s="6" t="inlineStr">
        <is>
          <t>✓</t>
        </is>
      </c>
      <c r="F36" s="35" t="inlineStr">
        <is>
          <t>Đăng nhập bằng SĐT/OTP hoặc Email; Quên mật khẩu; Đổi mật khẩu học viên</t>
        </is>
      </c>
    </row>
    <row r="37" ht="22" customHeight="1">
      <c r="A37" s="30" t="inlineStr">
        <is>
          <t>Full – Cổng Học viên</t>
        </is>
      </c>
      <c r="B37" s="44" t="inlineStr">
        <is>
          <t>Dashboard Cá nhân Học viên (/hoc-vien)</t>
        </is>
      </c>
      <c r="C37" s="22" t="inlineStr">
        <is>
          <t>Khu vực cá nhân theo dõi toàn bộ quá trình học nghề</t>
        </is>
      </c>
      <c r="D37" s="27" t="inlineStr">
        <is>
          <t>—</t>
        </is>
      </c>
      <c r="E37" s="6" t="inlineStr">
        <is>
          <t>✓</t>
        </is>
      </c>
      <c r="F37" s="22" t="inlineStr">
        <is>
          <t>Khóa học của tôi; Lịch khai giảng lớp đã đăng ký; Thông tin phòng bếp thực hành; Trạng thái học phí</t>
        </is>
      </c>
    </row>
    <row r="38" ht="22" customHeight="1">
      <c r="A38" s="33" t="inlineStr">
        <is>
          <t>Full – Cổng Học viên</t>
        </is>
      </c>
      <c r="B38" s="45" t="inlineStr">
        <is>
          <t>Kho Tài liệu Công thức Số Độc quyền</t>
        </is>
      </c>
      <c r="C38" s="35" t="inlineStr">
        <is>
          <t>Học viên tải công thức chuẩn định lượng có Watermark chống lộ</t>
        </is>
      </c>
      <c r="D38" s="27" t="inlineStr">
        <is>
          <t>—</t>
        </is>
      </c>
      <c r="E38" s="6" t="inlineStr">
        <is>
          <t>✓</t>
        </is>
      </c>
      <c r="F38" s="35" t="inlineStr">
        <is>
          <t>Danh sách tài liệu theo khóa học; File PDF công thức chuẩn gram; Video kỹ thuật mẫu; Danh bạ nguồn nguyên liệu sỉ</t>
        </is>
      </c>
    </row>
    <row r="39" ht="22" customHeight="1">
      <c r="A39" s="30" t="inlineStr">
        <is>
          <t>Full – Social Proof</t>
        </is>
      </c>
      <c r="B39" s="44" t="inlineStr">
        <is>
          <t>Showcase Học viên Mở quán Thành công</t>
        </is>
      </c>
      <c r="C39" s="22" t="inlineStr">
        <is>
          <t>Trang trưng bày các quán ăn thực tế của học viên đã thành nghề</t>
        </is>
      </c>
      <c r="D39" s="27" t="inlineStr">
        <is>
          <t>—</t>
        </is>
      </c>
      <c r="E39" s="6" t="inlineStr">
        <is>
          <t>✓</t>
        </is>
      </c>
      <c r="F39" s="22" t="inlineStr">
        <is>
          <t>Hình ảnh quán ăn học viên; Video chia sẻ thực tế; Doanh thu quán; Món bán chạy; Địa chỉ quán ăn</t>
        </is>
      </c>
    </row>
    <row r="40" ht="22" customHeight="1">
      <c r="A40" s="33" t="inlineStr">
        <is>
          <t>Full – Social Proof</t>
        </is>
      </c>
      <c r="B40" s="45" t="inlineStr">
        <is>
          <t>Form Gửi đánh giá &amp; Upload ảnh thành phẩm</t>
        </is>
      </c>
      <c r="C40" s="35" t="inlineStr">
        <is>
          <t>Học viên sau tốt nghiệp gửi cảm nhận và hình ảnh món ăn</t>
        </is>
      </c>
      <c r="D40" s="27" t="inlineStr">
        <is>
          <t>—</t>
        </is>
      </c>
      <c r="E40" s="6" t="inlineStr">
        <is>
          <t>✓</t>
        </is>
      </c>
      <c r="F40" s="35" t="inlineStr">
        <is>
          <t>Form chấm điểm sao (1-5 sao); Nhập cảm nhận khóa học; Tải ảnh món tự nấu; Gửi duyệt lên ban quản trị</t>
        </is>
      </c>
    </row>
    <row r="41" ht="22" customHeight="1">
      <c r="A41" s="30" t="inlineStr">
        <is>
          <t>Full – Tuyển sinh Pro</t>
        </is>
      </c>
      <c r="B41" s="44" t="inlineStr">
        <is>
          <t>Quản lý Lịch Khai giảng &amp; Slot Học viên (CMS)</t>
        </is>
      </c>
      <c r="C41" s="22" t="inlineStr">
        <is>
          <t>Quản lý chi tiết từng lớp khai giảng trong CMS</t>
        </is>
      </c>
      <c r="D41" s="27" t="inlineStr">
        <is>
          <t>—</t>
        </is>
      </c>
      <c r="E41" s="6" t="inlineStr">
        <is>
          <t>✓</t>
        </is>
      </c>
      <c r="F41" s="22" t="inlineStr">
        <is>
          <t>Thêm lớp mới; Thiết lập ngày học, ca học, phòng bếp; Giới hạn sĩ số; Tự động khóa slot khi đủ cọc</t>
        </is>
      </c>
    </row>
    <row r="42" ht="22" customHeight="1">
      <c r="A42" s="33" t="inlineStr">
        <is>
          <t>Full – Tuyển sinh Pro</t>
        </is>
      </c>
      <c r="B42" s="45" t="inlineStr">
        <is>
          <t>Báo cáo Doanh thu Tuyển sinh &amp; Lead Funnel (CMS)</t>
        </is>
      </c>
      <c r="C42" s="35" t="inlineStr">
        <is>
          <t>Phân tích hiệu quả tuyển sinh và doanh thu đào tạo</t>
        </is>
      </c>
      <c r="D42" s="27" t="inlineStr">
        <is>
          <t>—</t>
        </is>
      </c>
      <c r="E42" s="6" t="inlineStr">
        <is>
          <t>✓</t>
        </is>
      </c>
      <c r="F42" s="35" t="inlineStr">
        <is>
          <t>Biểu đồ số lượng lead theo nguồn; Tỷ lệ chuyển đổi thành học viên nộp cọc; Doanh thu học phí theo tháng/quý</t>
        </is>
      </c>
    </row>
    <row r="43" ht="22" customHeight="1">
      <c r="A43" s="30" t="inlineStr">
        <is>
          <t>Full – Vận hành Pro</t>
        </is>
      </c>
      <c r="B43" s="44" t="inlineStr">
        <is>
          <t>Quản lý Giao dịch Học phí &amp; Đối soát (CMS)</t>
        </is>
      </c>
      <c r="C43" s="22" t="inlineStr">
        <is>
          <t>Kế toán quản lý danh sách thu cọc và biên lai học phí</t>
        </is>
      </c>
      <c r="D43" s="27" t="inlineStr">
        <is>
          <t>—</t>
        </is>
      </c>
      <c r="E43" s="6" t="inlineStr">
        <is>
          <t>✓</t>
        </is>
      </c>
      <c r="F43" s="22" t="inlineStr">
        <is>
          <t>Danh sách giao dịch VietQR và Gateway; Trạng thái thanh toán; Xác nhận thu cọc thủ công; Xuất file Excel</t>
        </is>
      </c>
    </row>
    <row r="44" ht="22" customHeight="1">
      <c r="A44" s="33" t="inlineStr">
        <is>
          <t>Full – Vận hành Pro</t>
        </is>
      </c>
      <c r="B44" s="45" t="inlineStr">
        <is>
          <t>Quản lý Phân quyền Nhân sự Đa cấp (CMS)</t>
        </is>
      </c>
      <c r="C44" s="35" t="inlineStr">
        <is>
          <t>Thiết lập quyền truy cập cho từng bộ phận trong trung tâm</t>
        </is>
      </c>
      <c r="D44" s="27" t="inlineStr">
        <is>
          <t>—</t>
        </is>
      </c>
      <c r="E44" s="6" t="inlineStr">
        <is>
          <t>✓</t>
        </is>
      </c>
      <c r="F44" s="35" t="inlineStr">
        <is>
          <t>Quản lý tài khoản cán bộ tuyển sinh, giáo vụ, kế toán; Cấu hình quyền xem/sửa/xóa tương ứng</t>
        </is>
      </c>
    </row>
    <row r="45">
      <c r="A45" s="40" t="n"/>
      <c r="B45" s="40" t="n"/>
      <c r="C45" s="41" t="inlineStr">
        <is>
          <t>TỔNG SỐ MÀN HÌNH UI BÀN GIAO</t>
        </is>
      </c>
      <c r="D45" s="42">
        <f>COUNTIF(D5:D44,"✓")</f>
        <v/>
      </c>
      <c r="E45" s="43">
        <f>COUNTIF(E5:E44,"✓")</f>
        <v/>
      </c>
      <c r="F45" s="4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4" customWidth="1" min="2" max="2"/>
    <col width="8" customWidth="1" min="3" max="3"/>
    <col width="18" customWidth="1" min="4" max="4"/>
    <col width="14" customWidth="1" min="5" max="5"/>
    <col width="22" customWidth="1" min="6" max="6"/>
    <col width="65" customWidth="1" min="7" max="7"/>
  </cols>
  <sheetData>
    <row r="1" ht="36" customHeight="1">
      <c r="A1" s="28" t="inlineStr">
        <is>
          <t>CHI PHÍ ĐỊNH KỲ / BÊN THỨ BA – TÁCH KHỎI PHÍ PHÁT TRIỂN PHẦN MỀM</t>
        </is>
      </c>
    </row>
    <row r="3" ht="26" customHeight="1">
      <c r="A3" s="20" t="inlineStr">
        <is>
          <t>Hạng mục</t>
        </is>
      </c>
      <c r="B3" s="12" t="inlineStr">
        <is>
          <t>Đơn vị</t>
        </is>
      </c>
      <c r="C3" s="12" t="inlineStr">
        <is>
          <t>SL</t>
        </is>
      </c>
      <c r="D3" s="20" t="inlineStr">
        <is>
          <t>Đơn giá (nhập)</t>
        </is>
      </c>
      <c r="E3" s="12" t="inlineStr">
        <is>
          <t>Chu kỳ/năm</t>
        </is>
      </c>
      <c r="F3" s="20" t="inlineStr">
        <is>
          <t>Chi phí năm</t>
        </is>
      </c>
      <c r="G3" s="20" t="inlineStr">
        <is>
          <t>Ghi chú</t>
        </is>
      </c>
    </row>
    <row r="4" ht="22" customHeight="1">
      <c r="A4" s="30" t="inlineStr">
        <is>
          <t>Tên miền thương hiệu (.vn hoặc .com)</t>
        </is>
      </c>
      <c r="B4" s="46" t="inlineStr">
        <is>
          <t>năm</t>
        </is>
      </c>
      <c r="C4" s="46" t="n">
        <v>1</v>
      </c>
      <c r="D4" s="47" t="n"/>
      <c r="E4" s="46" t="n">
        <v>1</v>
      </c>
      <c r="F4" s="48">
        <f>IF(OR(D4="",E4=0),"",C4*D4*E4)</f>
        <v/>
      </c>
      <c r="G4" s="26" t="inlineStr">
        <is>
          <t>Tùy chọn tên miền thương hiệu: .vn (~550.000đ/năm) hoặc .com (~300.000đ/năm).</t>
        </is>
      </c>
    </row>
    <row r="5" ht="22" customHeight="1">
      <c r="A5" s="30" t="inlineStr">
        <is>
          <t>Cloud Hosting / Server (Vercel Pro / VPS)</t>
        </is>
      </c>
      <c r="B5" s="46" t="inlineStr">
        <is>
          <t>tháng</t>
        </is>
      </c>
      <c r="C5" s="46" t="n">
        <v>1</v>
      </c>
      <c r="D5" s="47" t="n"/>
      <c r="E5" s="46" t="n">
        <v>12</v>
      </c>
      <c r="F5" s="48">
        <f>IF(OR(D5="",E5=0),"",C5*D5*E5)</f>
        <v/>
      </c>
      <c r="G5" s="26" t="inlineStr">
        <is>
          <t>Lưu trữ máy chủ ứng dụng Next.js; gói Pro (~480.000đ/tháng) hoặc VPS riêng.</t>
        </is>
      </c>
    </row>
    <row r="6" ht="22" customHeight="1">
      <c r="A6" s="30" t="inlineStr">
        <is>
          <t>Cơ sở dữ liệu &amp; Storage (Supabase Pro)</t>
        </is>
      </c>
      <c r="B6" s="46" t="inlineStr">
        <is>
          <t>tháng</t>
        </is>
      </c>
      <c r="C6" s="46" t="n">
        <v>1</v>
      </c>
      <c r="D6" s="47" t="n"/>
      <c r="E6" s="46" t="n">
        <v>12</v>
      </c>
      <c r="F6" s="48">
        <f>IF(OR(D6="",E6=0),"",C6*D6*E6)</f>
        <v/>
      </c>
      <c r="G6" s="26" t="inlineStr">
        <is>
          <t>Database PostgreSQL, Authentication và lưu trữ ảnh/video; gói Pro ~600.000đ/tháng.</t>
        </is>
      </c>
    </row>
    <row r="7" ht="22" customHeight="1">
      <c r="A7" s="30" t="inlineStr">
        <is>
          <t>CDN / SSL / WAF / Bot Protection (Cloudflare)</t>
        </is>
      </c>
      <c r="B7" s="46" t="inlineStr">
        <is>
          <t>tháng</t>
        </is>
      </c>
      <c r="C7" s="46" t="n">
        <v>1</v>
      </c>
      <c r="D7" s="47" t="n"/>
      <c r="E7" s="46" t="n">
        <v>12</v>
      </c>
      <c r="F7" s="48">
        <f>IF(OR(D7="",E7=0),"",C7*D7*E7)</f>
        <v/>
      </c>
      <c r="G7" s="26" t="inlineStr">
        <is>
          <t>Tăng tốc tải trang và chống tấn công DDoS; có thể dùng gói Free hoặc Pro theo nhu cầu.</t>
        </is>
      </c>
    </row>
    <row r="8" ht="22" customHeight="1">
      <c r="A8" s="30" t="inlineStr">
        <is>
          <t>Email Transactional (Resend / Brevo)</t>
        </is>
      </c>
      <c r="B8" s="46" t="inlineStr">
        <is>
          <t>tháng</t>
        </is>
      </c>
      <c r="C8" s="46" t="n">
        <v>1</v>
      </c>
      <c r="D8" s="47" t="n"/>
      <c r="E8" s="46" t="n">
        <v>12</v>
      </c>
      <c r="F8" s="48">
        <f>IF(OR(D8="",E8=0),"",C8*D8*E8)</f>
        <v/>
      </c>
      <c r="G8" s="26" t="inlineStr">
        <is>
          <t>Gửi email xác nhận đăng ký học, lịch khai giảng và biên nhận cọc tự động (miễn phí đến 3.000 email/tháng).</t>
        </is>
      </c>
    </row>
    <row r="9" ht="22" customHeight="1">
      <c r="A9" s="30" t="inlineStr">
        <is>
          <t>SMS Brandname / Zalo ZNS Tuyển sinh</t>
        </is>
      </c>
      <c r="B9" s="46" t="inlineStr">
        <is>
          <t>tháng</t>
        </is>
      </c>
      <c r="C9" s="46" t="n">
        <v>1</v>
      </c>
      <c r="D9" s="47" t="n"/>
      <c r="E9" s="46" t="n">
        <v>12</v>
      </c>
      <c r="F9" s="48">
        <f>IF(OR(D9="",E9=0),"",C9*D9*E9)</f>
        <v/>
      </c>
      <c r="G9" s="26" t="inlineStr">
        <is>
          <t>Gửi tin nhắn thương hiệu xác nhận giữ chỗ và nhắc lịch học; tính theo số lượng gửi thực tế (~300đ/tin).</t>
        </is>
      </c>
    </row>
    <row r="10" ht="22" customHeight="1">
      <c r="A10" s="30" t="inlineStr">
        <is>
          <t>Cổng thanh toán trực tuyến / VietQR</t>
        </is>
      </c>
      <c r="B10" s="46" t="inlineStr">
        <is>
          <t>giao dịch</t>
        </is>
      </c>
      <c r="C10" s="46" t="n">
        <v>1</v>
      </c>
      <c r="D10" s="47" t="n"/>
      <c r="E10" s="46" t="n">
        <v>1</v>
      </c>
      <c r="F10" s="48">
        <f>IF(OR(D10="",E10=0),"",C10*D10*E10)</f>
        <v/>
      </c>
      <c r="G10" s="26" t="inlineStr">
        <is>
          <t>Cổng thanh toán VietQR miễn phí; Cổng VNPay/MoMo thu phí ~1.1% - 2.0% trên mỗi giao dịch thành công.</t>
        </is>
      </c>
    </row>
    <row r="11" ht="22" customHeight="1">
      <c r="A11" s="30" t="inlineStr">
        <is>
          <t>Bảo trì, Backup &amp; Hỗ trợ kỹ thuật SLA</t>
        </is>
      </c>
      <c r="B11" s="46" t="inlineStr">
        <is>
          <t>tháng</t>
        </is>
      </c>
      <c r="C11" s="46" t="n">
        <v>1</v>
      </c>
      <c r="D11" s="47" t="n"/>
      <c r="E11" s="46" t="n">
        <v>12</v>
      </c>
      <c r="F11" s="48">
        <f>IF(OR(D11="",E11=0),"",C11*D11*E11)</f>
        <v/>
      </c>
      <c r="G11" s="26" t="inlineStr">
        <is>
          <t>Gói hỗ trợ vận hành định kỳ sau thời gian bảo hành tiêu chuẩn (tùy chọn theo thỏa thuận SLA).</t>
        </is>
      </c>
    </row>
    <row r="13">
      <c r="A13" s="40" t="n"/>
      <c r="B13" s="40" t="n"/>
      <c r="C13" s="40" t="n"/>
      <c r="D13" s="40" t="n"/>
      <c r="E13" s="41" t="inlineStr">
        <is>
          <t>TỔNG CHI PHÍ NĂM</t>
        </is>
      </c>
      <c r="F13" s="49">
        <f>SUM(F4:F11)</f>
        <v/>
      </c>
      <c r="G13" s="40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6" customWidth="1" min="2" max="2"/>
    <col width="48" customWidth="1" min="3" max="3"/>
    <col width="54" customWidth="1" min="4" max="4"/>
    <col width="38" customWidth="1" min="5" max="5"/>
    <col width="42" customWidth="1" min="6" max="6"/>
  </cols>
  <sheetData>
    <row r="1" ht="36" customHeight="1">
      <c r="A1" s="28" t="inlineStr">
        <is>
          <t>PHẠM VI &amp; ĐIỀU KIỆN KỸ THUẬT CẦN CHỐT TRƯỚC KHI TRIỂN KHAI</t>
        </is>
      </c>
    </row>
    <row r="3" ht="26" customHeight="1">
      <c r="A3" s="12" t="inlineStr">
        <is>
          <t>STT</t>
        </is>
      </c>
      <c r="B3" s="20" t="inlineStr">
        <is>
          <t>Hạng mục</t>
        </is>
      </c>
      <c r="C3" s="20" t="inlineStr">
        <is>
          <t>Cần chốt cụ thể</t>
        </is>
      </c>
      <c r="D3" s="20" t="inlineStr">
        <is>
          <t>Ví dụ minh họa thực tế</t>
        </is>
      </c>
      <c r="E3" s="20" t="inlineStr">
        <is>
          <t>Gói Tiết kiệm (Core)</t>
        </is>
      </c>
      <c r="F3" s="20" t="inlineStr">
        <is>
          <t>Gói Full (Khuyến nghị)</t>
        </is>
      </c>
    </row>
    <row r="4" ht="28" customHeight="1">
      <c r="A4" s="50" t="n">
        <v>1</v>
      </c>
      <c r="B4" s="33" t="inlineStr">
        <is>
          <t>Danh mục Khóa học &amp; Số lượng</t>
        </is>
      </c>
      <c r="C4" s="35" t="inlineStr">
        <is>
          <t>Số lượng khóa học ban đầu đưa lên website; cấu trúc phân loại chuyên đề; thông tin chi tiết từng khóa.</t>
        </is>
      </c>
      <c r="D4" s="51" t="inlineStr">
        <is>
          <t>Ví dụ: 15 khóa học ban đầu (Món sáng, Lẩu nướng, Món ốc, Bếp trưởng khởi nghiệp); trường dữ liệu: giá, số buổi, sĩ số, highlights, giáo trình.</t>
        </is>
      </c>
      <c r="E4" s="35" t="inlineStr">
        <is>
          <t>Nhập sẵn 10-15 khóa học mẫu chuẩn cấu trúc; hướng dẫn admin tự tạo không giới hạn.</t>
        </is>
      </c>
      <c r="F4" s="35" t="inlineStr">
        <is>
          <t>Hỗ trợ import toàn bộ khóa học, chuẩn hóa hình ảnh món và cấu trúc giáo trình đa cấp.</t>
        </is>
      </c>
    </row>
    <row r="5" ht="28" customHeight="1">
      <c r="A5" s="46" t="n">
        <v>2</v>
      </c>
      <c r="B5" s="30" t="inlineStr">
        <is>
          <t>Giáo trình Đào tạo (Curriculum)</t>
        </is>
      </c>
      <c r="C5" s="22" t="inlineStr">
        <is>
          <t>Mức độ chi tiết của giáo trình khóa học; số buổi học; nội dung công thức và định lượng nguyên liệu.</t>
        </is>
      </c>
      <c r="D5" s="26" t="inlineStr">
        <is>
          <t>Ví dụ: Mỗi khóa có 3-5 buổi học; mỗi buổi gồm tiêu đề, tóm tắt kỹ năng đạt được và chi tiết các công thức chế biến.</t>
        </is>
      </c>
      <c r="E5" s="22" t="inlineStr">
        <is>
          <t>Giáo trình interactive accordion theo buổi học; quản lý linh hoạt qua Curriculum JSON editor.</t>
        </is>
      </c>
      <c r="F5" s="22" t="inlineStr">
        <is>
          <t>Tích hợp file giáo trình số PDF, video clip quay mẫu và tài liệu bảo mật Watermark.</t>
        </is>
      </c>
    </row>
    <row r="6" ht="28" customHeight="1">
      <c r="A6" s="50" t="n">
        <v>3</v>
      </c>
      <c r="B6" s="33" t="inlineStr">
        <is>
          <t>Hồ sơ Giảng viên &amp; Master Chef</t>
        </is>
      </c>
      <c r="C6" s="35" t="inlineStr">
        <is>
          <t>Số lượng giảng viên đưa lên hệ thống; thông tin bằng cấp, danh hiệu và giải thưởng ẩm thực.</t>
        </is>
      </c>
      <c r="D6" s="51" t="inlineStr">
        <is>
          <t>Ví dụ: 3-5 Master Chef; Thầy Phạm Văn Long (Nghệ nhân Bàn tay vàng, 25+ năm kinh nghiệm); ảnh chân dung, giải thưởng, khóa phụ trách.</t>
        </is>
      </c>
      <c r="E6" s="35" t="inlineStr">
        <is>
          <t>Tạo hồ sơ chuyên gia chuẩn nhận diện uy tín, gán khóa học phụ trách tương ứng.</t>
        </is>
      </c>
      <c r="F6" s="35" t="inlineStr">
        <is>
          <t>Thêm trang chi tiết chuyên sâu từng Master Chef, chứng chỉ nghề và bài phỏng vấn truyền nghề.</t>
        </is>
      </c>
    </row>
    <row r="7" ht="28" customHeight="1">
      <c r="A7" s="46" t="n">
        <v>4</v>
      </c>
      <c r="B7" s="30" t="inlineStr">
        <is>
          <t>Lịch Khai giảng &amp; Quản lý Slot</t>
        </is>
      </c>
      <c r="C7" s="22" t="inlineStr">
        <is>
          <t>Quy định mở lớp hàng tháng; số cơ sở đào tạo; quy tắc hiển thị trạng thái lớp học (Còn chỗ / Sắp hết / Đã đóng).</t>
        </is>
      </c>
      <c r="D7" s="26" t="inlineStr">
        <is>
          <t>Ví dụ: Mỗi tháng mở 6-8 lớp; ca học Sáng (8h30-11h30), Chiều (14h-17h); giới hạn tối đa 8-10 học viên/lớp để cầm tay chỉ việc.</t>
        </is>
      </c>
      <c r="E7" s="22" t="inlineStr">
        <is>
          <t>Hiển thị lịch khai giảng theo tháng; đăng ký tư vấn chọn lớp thủ công.</t>
        </is>
      </c>
      <c r="F7" s="22" t="inlineStr">
        <is>
          <t>Tự động khóa slot khi nhận đủ số lượng cọc; hiển thị số chỗ còn lại theo thời gian thực.</t>
        </is>
      </c>
    </row>
    <row r="8" ht="28" customHeight="1">
      <c r="A8" s="50" t="n">
        <v>5</v>
      </c>
      <c r="B8" s="33" t="inlineStr">
        <is>
          <t>Quy trình Thu thập Lead &amp; Tuyển sinh</t>
        </is>
      </c>
      <c r="C8" s="35" t="inlineStr">
        <is>
          <t>Các trường thông tin học viên cần thu thập; quy trình tiếp nhận và phân bổ chuyên viên tư vấn.</t>
        </is>
      </c>
      <c r="D8" s="51" t="inlineStr">
        <is>
          <t>Ví dụ: Họ tên, Số điện thoại (bắt buộc), Email, Khóa quan tâm, Cơ sở đào tạo mong muốn, Nhu cầu (mở quán / nâng tay nghề).</t>
        </is>
      </c>
      <c r="E8" s="35" t="inlineStr">
        <is>
          <t>Thu lead chuẩn vào database Supabase; quản lý trạng thái tư vấn trong CMS back-office.</t>
        </is>
      </c>
      <c r="F8" s="35" t="inlineStr">
        <is>
          <t>Tự động gửi email/ZNS xác nhận; đồng bộ dữ liệu sang Google Sheets/CRM ngoài qua Webhook.</t>
        </is>
      </c>
    </row>
    <row r="9" ht="28" customHeight="1">
      <c r="A9" s="46" t="n">
        <v>6</v>
      </c>
      <c r="B9" s="30" t="inlineStr">
        <is>
          <t>Thiết kế Giao diện (UI/UX)</t>
        </is>
      </c>
      <c r="C9" s="22" t="inlineStr">
        <is>
          <t>Số lượng màn hình thiết kế; phong cách nhận diện thương hiệu; số vòng chỉnh sửa góp ý.</t>
        </is>
      </c>
      <c r="D9" s="26" t="inlineStr">
        <is>
          <t>Ví dụ: Nhận diện màu Cam-Đen DuaxCar Kitchen; phong cách hiện đại, ngon miệng, ẩm thực cao cấp; tối đa 2 vòng góp ý hoàn thiện.</t>
        </is>
      </c>
      <c r="E9" s="22" t="inlineStr">
        <is>
          <t>Thiết kế hoàn chỉnh 29 màn hình Core desktop &amp; mobile theo nhận diện DuaxCar.</t>
        </is>
      </c>
      <c r="F9" s="22" t="inlineStr">
        <is>
          <t>Bao gồm 40 màn hình toàn diện (thêm Cổng học viên, Showcase quán học viên, Cổng cọc VietQR).</t>
        </is>
      </c>
    </row>
    <row r="10" ht="28" customHeight="1">
      <c r="A10" s="50" t="n">
        <v>7</v>
      </c>
      <c r="B10" s="33" t="inlineStr">
        <is>
          <t>Trang Nội dung &amp; Cẩm nang Ẩm thực</t>
        </is>
      </c>
      <c r="C10" s="35" t="inlineStr">
        <is>
          <t>Danh sách các trang tĩnh cần xây dựng và số bài viết cẩm nang ban đầu khi bàn giao website.</t>
        </is>
      </c>
      <c r="D10" s="51" t="inlineStr">
        <is>
          <t>Ví dụ: Giới thiệu, Liên hệ, FAQ, Quy chế đào tạo, Bảo mật, Học phí &amp; bảo lưu; nhập sẵn 10 bài viết cẩm nang ẩm thực chuẩn SEO.</t>
        </is>
      </c>
      <c r="E10" s="35" t="inlineStr">
        <is>
          <t>Các trang tĩnh cốt lõi + 10 bài viết cẩm nang nhập sẵn ban đầu.</t>
        </is>
      </c>
      <c r="F10" s="35" t="inlineStr">
        <is>
          <t>Mở rộng bài viết cẩm nang, bí quyết mở quán và mục lục tự động (Table of Contents).</t>
        </is>
      </c>
    </row>
    <row r="11" ht="28" customHeight="1">
      <c r="A11" s="46" t="n">
        <v>8</v>
      </c>
      <c r="B11" s="30" t="inlineStr">
        <is>
          <t>Cổng Thanh toán Đặt cọc Giữ chỗ</t>
        </is>
      </c>
      <c r="C11" s="22" t="inlineStr">
        <is>
          <t>Phương thức thanh toán cọc giữ chỗ; tài khoản ngân hàng nhận tiền; quy trình đối soát.</t>
        </is>
      </c>
      <c r="D11" s="26" t="inlineStr">
        <is>
          <t>Ví dụ: Sinh mã VietQR động đúng số tiền cọc (1.000.000đ) kèm mã đơn; hoặc cổng VNPay/MoMo liên kết tài khoản doanh nghiệp.</t>
        </is>
      </c>
      <c r="E11" s="22" t="inlineStr">
        <is>
          <t>Hướng dẫn chuyển khoản ngân hàng thủ công kèm cú pháp mã đơn.</t>
        </is>
      </c>
      <c r="F11" s="22" t="inlineStr">
        <is>
          <t>Tự động sinh mã VietQR động theo đơn; tích hợp cổng thanh toán trực tuyến và Webhook đối soát.</t>
        </is>
      </c>
    </row>
    <row r="12" ht="28" customHeight="1">
      <c r="A12" s="50" t="n">
        <v>9</v>
      </c>
      <c r="B12" s="33" t="inlineStr">
        <is>
          <t>Social Proof &amp; Học viên Mở quán</t>
        </is>
      </c>
      <c r="C12" s="35" t="inlineStr">
        <is>
          <t>Cơ chế thu thập và kiểm duyệt cảm nhận học viên; hình ảnh quán ăn thực tế sau khóa học.</t>
        </is>
      </c>
      <c r="D12" s="51" t="inlineStr">
        <is>
          <t>Ví dụ: Hình ảnh học viên mở quán phở/lẩu tại Hà Nội &amp; các tỉnh; video phỏng vấn doanh thu quán; điểm đánh giá 5 sao.</t>
        </is>
      </c>
      <c r="E12" s="35" t="inlineStr">
        <is>
          <t>Khu vực Testimonials chọn lọc hiển thị trang chủ.</t>
        </is>
      </c>
      <c r="F12" s="35" t="inlineStr">
        <is>
          <t>Showcase chuyên đề học viên mở quán thành công; form gửi review xác thực kèm ảnh thành phẩm.</t>
        </is>
      </c>
    </row>
    <row r="13" ht="28" customHeight="1">
      <c r="A13" s="46" t="n">
        <v>10</v>
      </c>
      <c r="B13" s="30" t="inlineStr">
        <is>
          <t>Cổng Học viên &amp; Bảo vệ Bản quyền Công thức</t>
        </is>
      </c>
      <c r="C13" s="22" t="inlineStr">
        <is>
          <t>Quy định tài khoản học viên; bảo mật tài liệu công thức bí quyết ẩm thực độc quyền của DuaxCar.</t>
        </is>
      </c>
      <c r="D13" s="26" t="inlineStr">
        <is>
          <t>Ví dụ: Học viên đăng nhập xem tài liệu PDF công thức; tự động đóng dấu chìm Watermark SĐT học viên lên file.</t>
        </is>
      </c>
      <c r="E13" s="22" t="inlineStr">
        <is>
          <t>Cung cấp tài liệu giáo trình trực tiếp tại xưởng bếp trong buổi học.</t>
        </is>
      </c>
      <c r="F13" s="22" t="inlineStr">
        <is>
          <t>Cổng học viên riêng biệt; kho công thức điện tử có Watermark chống sao chép và phát tán.</t>
        </is>
      </c>
    </row>
    <row r="14" ht="28" customHeight="1">
      <c r="A14" s="50" t="n">
        <v>11</v>
      </c>
      <c r="B14" s="33" t="inlineStr">
        <is>
          <t>Thông báo Tự động (Email &amp; ZNS)</t>
        </is>
      </c>
      <c r="C14" s="35" t="inlineStr">
        <is>
          <t>Kênh gửi thông báo và các sự kiện tự động kích hoạt thông báo đến học viên.</t>
        </is>
      </c>
      <c r="D14" s="51" t="inlineStr">
        <is>
          <t>Ví dụ: Gửi email chào mừng khi đăng ký; tin nhắn Zalo ZNS xác nhận giữ chỗ thành công; nhắc lịch học trước 2 ngày.</t>
        </is>
      </c>
      <c r="E14" s="35" t="inlineStr">
        <is>
          <t>Email thông báo tiếp nhận thông tin học viên cơ bản.</t>
        </is>
      </c>
      <c r="F14" s="35" t="inlineStr">
        <is>
          <t>Hệ thống Email tự động theo kịch bản tuyển sinh + Tích hợp Zalo ZNS / SMS Brandname.</t>
        </is>
      </c>
    </row>
    <row r="15" ht="28" customHeight="1">
      <c r="A15" s="46" t="n">
        <v>12</v>
      </c>
      <c r="B15" s="30" t="inlineStr">
        <is>
          <t>SEO &amp; Tiếp thị Số (Tracking)</t>
        </is>
      </c>
      <c r="C15" s="22" t="inlineStr">
        <is>
          <t>Bộ từ khóa mục tiêu ngành đào tạo nghề F&amp;B; mã theo dõi quảng cáo cần tích hợp.</t>
        </is>
      </c>
      <c r="D15" s="26" t="inlineStr">
        <is>
          <t>Ví dụ: Từ khóa 'học nấu ăn mở quán', 'học làm nước dùng phở'; mã GA4, Google Tag Manager, Meta Pixel theo dõi form.</t>
        </is>
      </c>
      <c r="E15" s="22" t="inlineStr">
        <is>
          <t>SEO On-page cơ bản, Course Schema chuẩn Google.</t>
        </is>
      </c>
      <c r="F15" s="22" t="inlineStr">
        <is>
          <t>SEO Schema đa tầng, sitemap tự động, thiết lập tracking chuyển đổi toàn diện cho GA4 và Facebook Ads.</t>
        </is>
      </c>
    </row>
    <row r="16" ht="28" customHeight="1">
      <c r="A16" s="50" t="n">
        <v>13</v>
      </c>
      <c r="B16" s="33" t="inlineStr">
        <is>
          <t>Phân quyền Quản trị (CMS Roles)</t>
        </is>
      </c>
      <c r="C16" s="35" t="inlineStr">
        <is>
          <t>Số lượng tài khoản nhân sự quản trị và phạm vi phân quyền của từng nhóm.</t>
        </is>
      </c>
      <c r="D16" s="51" t="inlineStr">
        <is>
          <t>Ví dụ: Ban Giám đốc (toàn quyền); Cán bộ Tuyển sinh (chỉ xem lead); Bếp trưởng (sửa giáo trình); Kế toán (đối soát học phí).</t>
        </is>
      </c>
      <c r="E16" s="35" t="inlineStr">
        <is>
          <t>Tài khoản Admin quản trị chung được bảo vệ qua Supabase Auth.</t>
        </is>
      </c>
      <c r="F16" s="35" t="inlineStr">
        <is>
          <t>Phân quyền đa cấp chi tiết theo phòng ban (Tuyển sinh, Giáo vụ, Kế toán) kèm Audit Log.</t>
        </is>
      </c>
    </row>
    <row r="17" ht="28" customHeight="1">
      <c r="A17" s="46" t="n">
        <v>14</v>
      </c>
      <c r="B17" s="30" t="inlineStr">
        <is>
          <t>Hạ tầng Hosting &amp; Cơ sở dữ liệu</t>
        </is>
      </c>
      <c r="C17" s="22" t="inlineStr">
        <is>
          <t>Nền tảng máy chủ; dung lượng lưu trữ; quy mô lưu lượng truy cập dự kiến; cơ chế sao lưu.</t>
        </is>
      </c>
      <c r="D17" s="26" t="inlineStr">
        <is>
          <t>Ví dụ: Nền tảng Vercel Serverless; database Supabase PostgreSQL; backup tự động hàng ngày; cơ chế Cron Ping giữ DB.</t>
        </is>
      </c>
      <c r="E17" s="22" t="inlineStr">
        <is>
          <t>Cấu hình chuẩn đám mây tối ưu chi phí vận hành cho giai đoạn ra mắt ban đầu.</t>
        </is>
      </c>
      <c r="F17" s="22" t="inlineStr">
        <is>
          <t>Hạ tầng chịu tải cao, CDN tăng tốc toàn cầu, tối ưu hóa bộ nhớ cache ISR và sao lưu tự động.</t>
        </is>
      </c>
    </row>
    <row r="18" ht="28" customHeight="1">
      <c r="A18" s="50" t="n">
        <v>15</v>
      </c>
      <c r="B18" s="33" t="inlineStr">
        <is>
          <t>Bảo mật &amp; An toàn Dữ liệu</t>
        </is>
      </c>
      <c r="C18" s="35" t="inlineStr">
        <is>
          <t>Yêu cầu an toàn thông tin dữ liệu khách hàng; mã hóa và phòng chống tấn công mạng.</t>
        </is>
      </c>
      <c r="D18" s="51" t="inlineStr">
        <is>
          <t>Ví dụ: Row Level Security (RLS) bảo vệ bảng học viên; mã hóa mật khẩu; chống spam form; chứng chỉ SSL/TLS.</t>
        </is>
      </c>
      <c r="E18" s="35" t="inlineStr">
        <is>
          <t>Bảo mật baseline tiêu chuẩn: HTTPS, RLS, bảo vệ biến môi trường.</t>
        </is>
      </c>
      <c r="F18" s="35" t="inlineStr">
        <is>
          <t>Bảo vệ đa lớp: RLS nâng cao, Cloudflare WAF, chống brute-force và kiểm soát phiên đăng nhập.</t>
        </is>
      </c>
    </row>
    <row r="19" ht="28" customHeight="1">
      <c r="A19" s="46" t="n">
        <v>16</v>
      </c>
      <c r="B19" s="30" t="inlineStr">
        <is>
          <t>Bảo hành &amp; Hỗ trợ Kỹ thuật</t>
        </is>
      </c>
      <c r="C19" s="22" t="inlineStr">
        <is>
          <t>Thời gian bảo hành; thời gian phản hồi sự cố; phạm vi khắc phục lỗi phần mềm.</t>
        </is>
      </c>
      <c r="D19" s="26" t="inlineStr">
        <is>
          <t>Ví dụ: Bảo hành kỹ thuật 03 tháng sau nghiệm thu; phản hồi lỗi nghiêm trọng trong vòng 2-4 giờ làm việc.</t>
        </is>
      </c>
      <c r="E19" s="22" t="inlineStr">
        <is>
          <t>Cam kết bảo hành lỗi kỹ thuật 03 tháng kể từ ngày bàn giao nghiệm thu.</t>
        </is>
      </c>
      <c r="F19" s="22" t="inlineStr">
        <is>
          <t>Bảo hành kỹ thuật 06 tháng; ưu đãi giảm 20% khi nâng cấp thêm tính năng trong năm đầu tiên.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2026-09-10T03:28:50Z</dcterms:created>
  <dcterms:modified xmlns:dcterms="http://purl.org/dc/terms/" xmlns:xsi="http://www.w3.org/2001/XMLSchema-instance" xsi:type="dcterms:W3CDTF">2026-09-10T03:28:50Z</dcterms:modified>
</cp:coreProperties>
</file>